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stos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Observacione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&quot;US$ &quot;#,##0.00"/>
    <numFmt numFmtId="165" formatCode="&quot;$ &quot;#,##0"/>
    <numFmt numFmtId="166" formatCode="0\ %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8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1F1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2E75B6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548235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10"/>
    </font>
    <font>
      <name val="Arial"/>
      <charset val="1"/>
      <family val="0"/>
      <b val="1"/>
      <i val="1"/>
      <color rgb="FFC00000"/>
      <sz val="10"/>
      <u val="single"/>
    </font>
    <font>
      <name val="Arial"/>
      <charset val="1"/>
      <family val="0"/>
      <color rgb="FF404040"/>
      <sz val="9"/>
    </font>
    <font>
      <name val="Arial"/>
      <charset val="1"/>
      <family val="0"/>
      <color rgb="FF0563C1"/>
      <sz val="9"/>
      <u val="single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F4E79"/>
      <sz val="11"/>
      <u val="single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FFFFFF"/>
      <sz val="11"/>
    </font>
    <font>
      <name val="Arial"/>
      <b val="1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FF2E75B6"/>
        <bgColor rgb="FF0563C1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7F9FC"/>
        <bgColor rgb="FFFFFFFF"/>
      </patternFill>
    </fill>
    <fill>
      <patternFill patternType="solid">
        <fgColor rgb="FFE2EFDA"/>
        <bgColor rgb="FFDDEBF7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 style="thin">
        <color rgb="FFD0D7E2"/>
      </right>
      <top style="medium">
        <color rgb="FFBF9000"/>
      </top>
      <bottom style="medium">
        <color rgb="FFBF90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right" vertical="center" indent="1"/>
    </xf>
    <xf numFmtId="164" fontId="6" fillId="3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8" fillId="4" borderId="3" applyAlignment="1" pivotButton="0" quotePrefix="0" xfId="0">
      <alignment horizontal="center" vertical="center" wrapText="1"/>
    </xf>
    <xf numFmtId="0" fontId="9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center" vertical="center" wrapText="1"/>
    </xf>
    <xf numFmtId="164" fontId="11" fillId="5" borderId="4" applyAlignment="1" pivotButton="0" quotePrefix="0" xfId="0">
      <alignment horizontal="right" vertical="center" wrapText="1"/>
    </xf>
    <xf numFmtId="0" fontId="12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164" fontId="10" fillId="5" borderId="4" applyAlignment="1" pivotButton="0" quotePrefix="0" xfId="0">
      <alignment horizontal="right" vertical="center" wrapText="1"/>
    </xf>
    <xf numFmtId="164" fontId="13" fillId="5" borderId="4" applyAlignment="1" pivotButton="0" quotePrefix="0" xfId="0">
      <alignment horizontal="right" vertical="center" wrapText="1"/>
    </xf>
    <xf numFmtId="0" fontId="9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center" vertical="center" wrapText="1"/>
    </xf>
    <xf numFmtId="165" fontId="11" fillId="0" borderId="4" applyAlignment="1" pivotButton="0" quotePrefix="0" xfId="0">
      <alignment horizontal="right" vertical="center" wrapText="1"/>
    </xf>
    <xf numFmtId="0" fontId="14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165" fontId="10" fillId="0" borderId="4" applyAlignment="1" pivotButton="0" quotePrefix="0" xfId="0">
      <alignment horizontal="right" vertical="center" wrapText="1"/>
    </xf>
    <xf numFmtId="165" fontId="13" fillId="0" borderId="4" applyAlignment="1" pivotButton="0" quotePrefix="0" xfId="0">
      <alignment horizontal="right" vertical="center" wrapText="1"/>
    </xf>
    <xf numFmtId="0" fontId="15" fillId="3" borderId="5" applyAlignment="1" pivotButton="0" quotePrefix="0" xfId="0">
      <alignment horizontal="left" vertical="center" wrapText="1"/>
    </xf>
    <xf numFmtId="0" fontId="16" fillId="3" borderId="5" applyAlignment="1" pivotButton="0" quotePrefix="0" xfId="0">
      <alignment horizontal="left" vertical="center" wrapText="1"/>
    </xf>
    <xf numFmtId="0" fontId="16" fillId="3" borderId="5" applyAlignment="1" pivotButton="0" quotePrefix="0" xfId="0">
      <alignment horizontal="center" vertical="center" wrapText="1"/>
    </xf>
    <xf numFmtId="164" fontId="15" fillId="3" borderId="5" applyAlignment="1" pivotButton="0" quotePrefix="0" xfId="0">
      <alignment horizontal="right" vertical="center" wrapText="1"/>
    </xf>
    <xf numFmtId="165" fontId="15" fillId="3" borderId="5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13" fillId="0" borderId="4" applyAlignment="1" pivotButton="0" quotePrefix="0" xfId="0">
      <alignment horizontal="left" vertical="center" wrapText="1"/>
    </xf>
    <xf numFmtId="164" fontId="10" fillId="0" borderId="4" applyAlignment="1" pivotButton="0" quotePrefix="0" xfId="0">
      <alignment horizontal="right" vertical="center" wrapText="1"/>
    </xf>
    <xf numFmtId="164" fontId="13" fillId="0" borderId="4" applyAlignment="1" pivotButton="0" quotePrefix="0" xfId="0">
      <alignment horizontal="right" vertical="center" wrapText="1"/>
    </xf>
    <xf numFmtId="0" fontId="18" fillId="0" borderId="4" applyAlignment="1" pivotButton="0" quotePrefix="0" xfId="0">
      <alignment horizontal="left" vertical="center" wrapText="1" indent="1"/>
    </xf>
    <xf numFmtId="0" fontId="19" fillId="0" borderId="4" applyAlignment="1" pivotButton="0" quotePrefix="0" xfId="0">
      <alignment horizontal="left" vertical="center" wrapText="1"/>
    </xf>
    <xf numFmtId="0" fontId="13" fillId="6" borderId="4" applyAlignment="1" pivotButton="0" quotePrefix="0" xfId="0">
      <alignment horizontal="left" vertical="center" wrapText="1"/>
    </xf>
    <xf numFmtId="0" fontId="10" fillId="6" borderId="4" applyAlignment="1" pivotButton="0" quotePrefix="0" xfId="0">
      <alignment horizontal="left" vertical="center" wrapText="1"/>
    </xf>
    <xf numFmtId="164" fontId="10" fillId="6" borderId="4" applyAlignment="1" pivotButton="0" quotePrefix="0" xfId="0">
      <alignment horizontal="right" vertical="center" wrapText="1"/>
    </xf>
    <xf numFmtId="0" fontId="7" fillId="6" borderId="4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center" vertical="center" wrapText="1"/>
    </xf>
    <xf numFmtId="164" fontId="13" fillId="6" borderId="4" applyAlignment="1" pivotButton="0" quotePrefix="0" xfId="0">
      <alignment horizontal="right" vertical="center" wrapText="1"/>
    </xf>
    <xf numFmtId="0" fontId="18" fillId="6" borderId="4" applyAlignment="1" pivotButton="0" quotePrefix="0" xfId="0">
      <alignment horizontal="left" vertical="center" wrapText="1" indent="1"/>
    </xf>
    <xf numFmtId="0" fontId="19" fillId="6" borderId="4" applyAlignment="1" pivotButton="0" quotePrefix="0" xfId="0">
      <alignment horizontal="left" vertical="center" wrapText="1"/>
    </xf>
    <xf numFmtId="165" fontId="10" fillId="6" borderId="4" applyAlignment="1" pivotButton="0" quotePrefix="0" xfId="0">
      <alignment horizontal="right" vertical="center" wrapText="1"/>
    </xf>
    <xf numFmtId="165" fontId="13" fillId="6" borderId="4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general" vertical="top" wrapText="1"/>
    </xf>
    <xf numFmtId="165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top" wrapText="1"/>
    </xf>
    <xf numFmtId="0" fontId="20" fillId="0" borderId="0" applyAlignment="1" pivotButton="0" quotePrefix="0" xfId="0">
      <alignment horizontal="general" vertical="top" wrapText="1"/>
    </xf>
    <xf numFmtId="164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6" fontId="21" fillId="7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 wrapText="1"/>
    </xf>
    <xf numFmtId="0" fontId="21" fillId="7" borderId="4" applyAlignment="1" pivotButton="0" quotePrefix="0" xfId="0">
      <alignment horizontal="center" vertical="center" wrapText="1"/>
    </xf>
    <xf numFmtId="0" fontId="7" fillId="6" borderId="4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center" wrapText="1" indent="1"/>
    </xf>
    <xf numFmtId="0" fontId="24" fillId="4" borderId="0" applyAlignment="1" pivotButton="0" quotePrefix="0" xfId="0">
      <alignment horizontal="general" vertical="center" indent="1"/>
    </xf>
    <xf numFmtId="0" fontId="0" fillId="4" borderId="0" applyAlignment="1" pivotButton="0" quotePrefix="0" xfId="0">
      <alignment horizontal="general" vertical="bottom"/>
    </xf>
    <xf numFmtId="0" fontId="13" fillId="5" borderId="4" applyAlignment="1" pivotButton="0" quotePrefix="0" xfId="0">
      <alignment horizontal="general" vertical="center" wrapText="1" indent="1"/>
    </xf>
    <xf numFmtId="0" fontId="7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17" fillId="0" borderId="0" applyAlignment="1" pivotButton="0" quotePrefix="0" xfId="0">
      <alignment horizontal="general" vertical="center" wrapText="1"/>
    </xf>
    <xf numFmtId="0" fontId="8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3" borderId="5" applyAlignment="1" pivotButton="0" quotePrefix="0" xfId="0">
      <alignment horizontal="left" vertical="center" wrapText="1"/>
    </xf>
    <xf numFmtId="164" fontId="15" fillId="3" borderId="5" applyAlignment="1" pivotButton="0" quotePrefix="0" xfId="0">
      <alignment horizontal="right" vertical="center" wrapText="1"/>
    </xf>
    <xf numFmtId="165" fontId="15" fillId="3" borderId="5" applyAlignment="1" pivotButton="0" quotePrefix="0" xfId="0">
      <alignment horizontal="right" vertical="center" wrapText="1"/>
    </xf>
    <xf numFmtId="0" fontId="26" fillId="0" borderId="0" pivotButton="0" quotePrefix="0" xfId="0"/>
    <xf numFmtId="164" fontId="26" fillId="0" borderId="0" pivotButton="0" quotePrefix="0" xfId="0"/>
    <xf numFmtId="165" fontId="26" fillId="0" borderId="0" pivotButton="0" quotePrefix="0" xfId="0"/>
    <xf numFmtId="0" fontId="8" fillId="4" borderId="3" applyAlignment="1" pivotButton="0" quotePrefix="0" xfId="0">
      <alignment horizontal="center" vertical="center" wrapText="1"/>
    </xf>
    <xf numFmtId="0" fontId="25" fillId="8" borderId="0" pivotButton="0" quotePrefix="0" xfId="0"/>
    <xf numFmtId="0" fontId="9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164" fontId="13" fillId="5" borderId="4" applyAlignment="1" pivotButton="0" quotePrefix="0" xfId="0">
      <alignment horizontal="right" vertical="center" wrapText="1"/>
    </xf>
    <xf numFmtId="0" fontId="10" fillId="5" borderId="4" applyAlignment="1" pivotButton="0" quotePrefix="0" xfId="0">
      <alignment horizontal="center" vertical="center" wrapText="1"/>
    </xf>
    <xf numFmtId="164" fontId="11" fillId="5" borderId="4" applyAlignment="1" pivotButton="0" quotePrefix="0" xfId="0">
      <alignment horizontal="right" vertical="center" wrapText="1"/>
    </xf>
    <xf numFmtId="164" fontId="10" fillId="5" borderId="4" applyAlignment="1" pivotButton="0" quotePrefix="0" xfId="0">
      <alignment horizontal="right" vertical="center" wrapText="1"/>
    </xf>
    <xf numFmtId="0" fontId="18" fillId="0" borderId="4" applyAlignment="1" pivotButton="0" quotePrefix="0" xfId="0">
      <alignment horizontal="left" vertical="center" wrapText="1" indent="1"/>
    </xf>
    <xf numFmtId="0" fontId="1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165" fontId="13" fillId="0" borderId="4" applyAlignment="1" pivotButton="0" quotePrefix="0" xfId="0">
      <alignment horizontal="right" vertical="center" wrapText="1"/>
    </xf>
    <xf numFmtId="0" fontId="10" fillId="0" borderId="4" applyAlignment="1" pivotButton="0" quotePrefix="0" xfId="0">
      <alignment horizontal="center" vertical="center" wrapText="1"/>
    </xf>
    <xf numFmtId="165" fontId="11" fillId="0" borderId="4" applyAlignment="1" pivotButton="0" quotePrefix="0" xfId="0">
      <alignment horizontal="right" vertical="center" wrapText="1"/>
    </xf>
    <xf numFmtId="165" fontId="10" fillId="0" borderId="4" applyAlignment="1" pivotButton="0" quotePrefix="0" xfId="0">
      <alignment horizontal="right" vertical="center" wrapText="1"/>
    </xf>
    <xf numFmtId="0" fontId="18" fillId="6" borderId="4" applyAlignment="1" pivotButton="0" quotePrefix="0" xfId="0">
      <alignment horizontal="left" vertical="center" wrapText="1" indent="1"/>
    </xf>
    <xf numFmtId="0" fontId="19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8" fillId="4" borderId="3" applyAlignment="1" pivotButton="0" quotePrefix="0" xfId="0">
      <alignment horizontal="center" vertical="center" wrapText="1"/>
    </xf>
    <xf numFmtId="166" fontId="21" fillId="7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 vertical="center" wrapText="1"/>
    </xf>
    <xf numFmtId="0" fontId="10" fillId="6" borderId="4" applyAlignment="1" pivotButton="0" quotePrefix="0" xfId="0">
      <alignment horizontal="left" vertical="center" wrapText="1"/>
    </xf>
    <xf numFmtId="0" fontId="21" fillId="7" borderId="4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center" vertical="center" wrapText="1"/>
    </xf>
    <xf numFmtId="0" fontId="7" fillId="6" borderId="4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general" vertical="bottom"/>
    </xf>
    <xf numFmtId="0" fontId="24" fillId="4" borderId="0" applyAlignment="1" pivotButton="0" quotePrefix="0" xfId="0">
      <alignment horizontal="general" vertical="center" indent="1"/>
    </xf>
    <xf numFmtId="0" fontId="0" fillId="4" borderId="0" applyAlignment="1" pivotButton="0" quotePrefix="0" xfId="0">
      <alignment horizontal="general" vertical="bottom"/>
    </xf>
    <xf numFmtId="0" fontId="13" fillId="5" borderId="4" applyAlignment="1" pivotButton="0" quotePrefix="0" xfId="0">
      <alignment horizontal="general" vertical="center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9000"/>
      <rgbColor rgb="FFFF6600"/>
      <rgbColor rgb="FF595959"/>
      <rgbColor rgb="FF969696"/>
      <rgbColor rgb="FF003366"/>
      <rgbColor rgb="FF339966"/>
      <rgbColor rgb="FF003300"/>
      <rgbColor rgb="FF1F1F1F"/>
      <rgbColor rgb="FF9933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27</row>
      <rowOff>0</rowOff>
    </from>
    <to>
      <col>1</col>
      <colOff>5122800</colOff>
      <row>50</row>
      <rowOff>112680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362560"/>
          <a:ext cx="7237440" cy="44942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oldosromela.com.uy/" TargetMode="External" Id="rId1"/><Relationship Type="http://schemas.openxmlformats.org/officeDocument/2006/relationships/hyperlink" Target="https://www.nylon.com.uy/" TargetMode="External" Id="rId2"/><Relationship Type="http://schemas.openxmlformats.org/officeDocument/2006/relationships/hyperlink" Target="https://www.appelsa.com.uy/product-page/6-x-3mm-11-97kg" TargetMode="External" Id="rId3"/><Relationship Type="http://schemas.openxmlformats.org/officeDocument/2006/relationships/hyperlink" Target="https://www.appelsa.com.uy/product-page/200-x-200-x-4-75mm-30-11kg" TargetMode="External" Id="rId4"/><Relationship Type="http://schemas.openxmlformats.org/officeDocument/2006/relationships/hyperlink" Target="https://www.appelsa.com.uy/product-page/5-x-3mm-9-500kg" TargetMode="External" Id="rId5"/><Relationship Type="http://schemas.openxmlformats.org/officeDocument/2006/relationships/hyperlink" Target="https://www.bianchi.com.uy/cable-acero-16mmalma-canamo" TargetMode="External" Id="rId6"/><Relationship Type="http://schemas.openxmlformats.org/officeDocument/2006/relationships/hyperlink" Target="https://www.bianchi.com.uy/cable-acero-12mmalma-canamo" TargetMode="External" Id="rId7"/><Relationship Type="http://schemas.openxmlformats.org/officeDocument/2006/relationships/hyperlink" Target="https://www.bianchi.com.uy/grillete-alta-resistencia-78-pulga-65ton-certificados-able" TargetMode="External" Id="rId8"/><Relationship Type="http://schemas.openxmlformats.org/officeDocument/2006/relationships/hyperlink" Target="https://www.bianchi.com.uy/grillete-alta-resistencia-58-pulg-325ton-certificados-able" TargetMode="External" Id="rId9"/><Relationship Type="http://schemas.openxmlformats.org/officeDocument/2006/relationships/hyperlink" Target="https://www.bianchi.com.uy/tensor-ojo-y-gancho-22mm" TargetMode="External" Id="rId10"/><Relationship Type="http://schemas.openxmlformats.org/officeDocument/2006/relationships/hyperlink" Target="https://www.bianchi.com.uy/tensor-ojo-y-gancho-16mm" TargetMode="External" Id="rId11"/><Relationship Type="http://schemas.openxmlformats.org/officeDocument/2006/relationships/hyperlink" Target="https://www.bianchi.com.uy/apretacable-para-cable-de-acero-16-mm" TargetMode="External" Id="rId12"/><Relationship Type="http://schemas.openxmlformats.org/officeDocument/2006/relationships/hyperlink" Target="https://www.bianchi.com.uy/apretacable-para-cable-de-acero-12-mm" TargetMode="External" Id="rId13"/><Relationship Type="http://schemas.openxmlformats.org/officeDocument/2006/relationships/hyperlink" Target="https://www.appelsa.com.uy/product-page/5-8-x-5-96-6kg" TargetMode="External" Id="rId14"/><Relationship Type="http://schemas.openxmlformats.org/officeDocument/2006/relationships/hyperlink" Target="https://www.sodimac.com.uy/sodimac-uy/product/1898396/" TargetMode="External" Id="rId15"/><Relationship Type="http://schemas.openxmlformats.org/officeDocument/2006/relationships/hyperlink" Target="https://www.sodimac.com.uy/sodimac-uy/product/3254011/" TargetMode="External" Id="rId16"/><Relationship Type="http://schemas.openxmlformats.org/officeDocument/2006/relationships/hyperlink" Target="https://www.sodimac.com.uy/sodimac-uy/product/1982427/" TargetMode="External" Id="rId17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tabSelected="1" workbookViewId="0">
      <selection activeCell="A1" sqref="A1"/>
    </sheetView>
  </sheetViews>
  <sheetFormatPr baseColWidth="8" defaultRowHeight="15"/>
  <cols>
    <col width="62" customWidth="1" style="63" min="1" max="1"/>
    <col width="22" customWidth="1" style="63" min="2" max="2"/>
    <col width="14" customWidth="1" style="63" min="3" max="3"/>
    <col width="9" customWidth="1" style="63" min="4" max="4"/>
    <col width="9" customWidth="1" style="63" min="5" max="5"/>
    <col width="11" customWidth="1" style="63" min="6" max="6"/>
    <col width="17" customWidth="1" style="63" min="7" max="7"/>
    <col width="14" customWidth="1" style="63" min="8" max="8"/>
    <col hidden="1" outlineLevel="1" width="15" customWidth="1" style="63" min="9" max="9"/>
    <col hidden="1" outlineLevel="1" width="16" customWidth="1" style="63" min="10" max="10"/>
    <col hidden="1" outlineLevel="1" width="60" customWidth="1" style="63" min="11" max="11"/>
    <col hidden="1" outlineLevel="1" width="54" customWidth="1" style="63" min="12" max="12"/>
    <col collapsed="1" width="4" customWidth="1" style="63" min="13" max="13"/>
  </cols>
  <sheetData>
    <row r="1">
      <c r="A1" s="64" t="inlineStr">
        <is>
          <t>Gastos de la idea final</t>
        </is>
      </c>
    </row>
    <row r="2" ht="44" customHeight="1" s="63">
      <c r="A2" s="65" t="inlineStr">
        <is>
          <t>Precios al 1/10/2026 (confirmar al comprar). Dólares y pesos van por separado porque no se usa tipo de cambio: filas celestes = USD, blancas = pesos. Las cantidades salen de la hoja Supuestos. Precio unitario, subtotal, comentarios y links están agrupados: botón + sobre la columna M.</t>
        </is>
      </c>
    </row>
    <row r="4">
      <c r="A4" s="66" t="inlineStr">
        <is>
          <t>Resumen con IVA</t>
        </is>
      </c>
      <c r="B4" s="67" t="inlineStr">
        <is>
          <t>Dólares (USD)</t>
        </is>
      </c>
      <c r="C4" s="67" t="inlineStr">
        <is>
          <t>Pesos (UYU)</t>
        </is>
      </c>
    </row>
    <row r="5">
      <c r="A5" s="68" t="inlineStr">
        <is>
          <t>TOTAL</t>
        </is>
      </c>
      <c r="B5" s="69">
        <f>SUMIF($E$13:$E$34,"USD",$G$13:$G$34)</f>
        <v/>
      </c>
      <c r="C5" s="70">
        <f>SUMIF($E$13:$E$34,"UYU",$G$13:$G$34)</f>
        <v/>
      </c>
    </row>
    <row r="6">
      <c r="A6" s="71" t="inlineStr">
        <is>
          <t>Lona y cuerda</t>
        </is>
      </c>
      <c r="B6" s="72">
        <f>SUMIF($E$14:$E$15,"USD",$G$14:$G$15)</f>
        <v/>
      </c>
      <c r="C6" s="73">
        <f>SUMIF($E$14:$E$15,"UYU",$G$14:$G$15)</f>
        <v/>
      </c>
    </row>
    <row r="7">
      <c r="A7" s="71" t="inlineStr">
        <is>
          <t>Postes y vainas</t>
        </is>
      </c>
      <c r="B7" s="72">
        <f>SUMIF($E$17:$E$20,"USD",$G$17:$G$20)</f>
        <v/>
      </c>
      <c r="C7" s="73">
        <f>SUMIF($E$17:$E$20,"UYU",$G$17:$G$20)</f>
        <v/>
      </c>
    </row>
    <row r="8">
      <c r="A8" s="71" t="inlineStr">
        <is>
          <t>Cables y herrajes</t>
        </is>
      </c>
      <c r="B8" s="72">
        <f>SUMIF($E$22:$E$29,"USD",$G$22:$G$29)</f>
        <v/>
      </c>
      <c r="C8" s="73">
        <f>SUMIF($E$22:$E$29,"UYU",$G$22:$G$29)</f>
        <v/>
      </c>
    </row>
    <row r="9">
      <c r="A9" s="71" t="inlineStr">
        <is>
          <t>Anclajes en paredes</t>
        </is>
      </c>
      <c r="B9" s="72">
        <f>SUMIF($E$31:$E$34,"USD",$G$31:$G$34)</f>
        <v/>
      </c>
      <c r="C9" s="73">
        <f>SUMIF($E$31:$E$34,"UYU",$G$31:$G$34)</f>
        <v/>
      </c>
    </row>
    <row r="12" ht="30" customHeight="1" s="63">
      <c r="A12" s="74" t="inlineStr">
        <is>
          <t>Ítem</t>
        </is>
      </c>
      <c r="B12" s="74" t="inlineStr">
        <is>
          <t>Proveedor</t>
        </is>
      </c>
      <c r="C12" s="74" t="inlineStr">
        <is>
          <t>Cantidad</t>
        </is>
      </c>
      <c r="D12" s="74" t="inlineStr">
        <is>
          <t>Unidad</t>
        </is>
      </c>
      <c r="E12" s="74" t="inlineStr">
        <is>
          <t>Moneda</t>
        </is>
      </c>
      <c r="F12" s="74" t="inlineStr">
        <is>
          <t>IVA</t>
        </is>
      </c>
      <c r="G12" s="74" t="inlineStr">
        <is>
          <t>Total con IVA</t>
        </is>
      </c>
      <c r="H12" s="74" t="inlineStr">
        <is>
          <t>Cantidad: calculada o estimada</t>
        </is>
      </c>
      <c r="I12" s="74" t="inlineStr">
        <is>
          <t>Precio unitario</t>
        </is>
      </c>
      <c r="J12" s="74" t="inlineStr">
        <is>
          <t>Subtotal sin IVA</t>
        </is>
      </c>
      <c r="K12" s="74" t="inlineStr">
        <is>
          <t>Comentario</t>
        </is>
      </c>
      <c r="L12" s="74" t="inlineStr">
        <is>
          <t>Link</t>
        </is>
      </c>
    </row>
    <row r="13">
      <c r="A13" s="75" t="inlineStr">
        <is>
          <t>Lona y cuerda</t>
        </is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</row>
    <row r="14" ht="31" customHeight="1" s="63">
      <c r="A14" s="76" t="inlineStr">
        <is>
          <t>Lona mesh 41 × 24,5 m, costura electrónica, ojales cada 50 cm</t>
        </is>
      </c>
      <c r="B14" s="77" t="inlineStr">
        <is>
          <t>Romela Toldos</t>
        </is>
      </c>
      <c r="C14" s="78">
        <f>1</f>
        <v/>
      </c>
      <c r="D14" s="78" t="inlineStr">
        <is>
          <t>lona</t>
        </is>
      </c>
      <c r="E14" s="79" t="inlineStr">
        <is>
          <t>USD</t>
        </is>
      </c>
      <c r="F14" s="80" t="inlineStr">
        <is>
          <t>+IVA</t>
        </is>
      </c>
      <c r="G14" s="81">
        <f>IF(F14="+IVA",J14*(1+Supuestos!$B$5),J14)</f>
        <v/>
      </c>
      <c r="H14" s="82" t="inlineStr">
        <is>
          <t>Calculada</t>
        </is>
      </c>
      <c r="I14" s="83" t="n">
        <v>14650</v>
      </c>
      <c r="J14" s="84">
        <f>C14*I14</f>
        <v/>
      </c>
      <c r="K14" s="85" t="inlineStr">
        <is>
          <t>Cotización por WhatsApp (099 664 452). Una sola pieza a medida.</t>
        </is>
      </c>
      <c r="L14" s="86" t="inlineStr">
        <is>
          <t>https://www.toldosromela.com.uy/</t>
        </is>
      </c>
    </row>
    <row r="15" ht="31" customHeight="1" s="63">
      <c r="A15" s="87" t="inlineStr">
        <is>
          <t>Cuerda náutica de poliéster 8 mm, 100 m</t>
        </is>
      </c>
      <c r="B15" s="88" t="inlineStr">
        <is>
          <t>Polietileno Obelisco</t>
        </is>
      </c>
      <c r="C15" s="89">
        <f>ROUNDUP(Supuestos!$B$24*Supuestos!$B$25/100,0)</f>
        <v/>
      </c>
      <c r="D15" s="89" t="inlineStr">
        <is>
          <t>rollo</t>
        </is>
      </c>
      <c r="E15" s="90" t="inlineStr">
        <is>
          <t>UYU</t>
        </is>
      </c>
      <c r="F15" s="91" t="inlineStr">
        <is>
          <t>IVA incl.</t>
        </is>
      </c>
      <c r="G15" s="92">
        <f>IF(F15="+IVA",J15*(1+Supuestos!$B$5),J15)</f>
        <v/>
      </c>
      <c r="H15" s="93" t="inlineStr">
        <is>
          <t>Estimada</t>
        </is>
      </c>
      <c r="I15" s="94" t="n">
        <v>2400</v>
      </c>
      <c r="J15" s="95">
        <f>C15*I15</f>
        <v/>
      </c>
      <c r="K15" s="85" t="inlineStr">
        <is>
          <t>Para atar la lona a los cables, ojal por ojal. Lista de junio 2025; puede variar un 10 %.</t>
        </is>
      </c>
      <c r="L15" s="86" t="inlineStr">
        <is>
          <t>https://www.nylon.com.uy/</t>
        </is>
      </c>
    </row>
    <row r="16">
      <c r="A16" s="75" t="inlineStr">
        <is>
          <t>Postes y vainas</t>
        </is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</row>
    <row r="17" ht="31" customHeight="1" s="63">
      <c r="A17" s="76" t="inlineStr">
        <is>
          <t>Postes: caño redondo 6" × 3 mm, barra de 6 m</t>
        </is>
      </c>
      <c r="B17" s="77" t="inlineStr">
        <is>
          <t>Appelsa</t>
        </is>
      </c>
      <c r="C17" s="78">
        <f>Supuestos!$B$6/3*Supuestos!$B$8+Supuestos!$B$9</f>
        <v/>
      </c>
      <c r="D17" s="78" t="inlineStr">
        <is>
          <t>barra</t>
        </is>
      </c>
      <c r="E17" s="79" t="inlineStr">
        <is>
          <t>USD</t>
        </is>
      </c>
      <c r="F17" s="80" t="inlineStr">
        <is>
          <t>+IVA</t>
        </is>
      </c>
      <c r="G17" s="81">
        <f>IF(F17="+IVA",J17*(1+Supuestos!$B$5),J17)</f>
        <v/>
      </c>
      <c r="H17" s="82" t="inlineStr">
        <is>
          <t>Estimada</t>
        </is>
      </c>
      <c r="I17" s="83" t="n">
        <v>112.29</v>
      </c>
      <c r="J17" s="84">
        <f>C17*I17</f>
        <v/>
      </c>
      <c r="K17" s="96" t="inlineStr">
        <is>
          <t>Precio por unidad, en dólares, más IVA. Unos 72 kg por barra. Consultar si viene galvanizado.</t>
        </is>
      </c>
      <c r="L17" s="97" t="inlineStr">
        <is>
          <t>https://www.appelsa.com.uy/product-page/6-x-3mm-11-97kg</t>
        </is>
      </c>
    </row>
    <row r="18" ht="31" customHeight="1" s="63">
      <c r="A18" s="76" t="inlineStr">
        <is>
          <t>Vainas: tubo cuadrado 200 × 200 × 4,75 mm, barra de 6 m</t>
        </is>
      </c>
      <c r="B18" s="77" t="inlineStr">
        <is>
          <t>Appelsa</t>
        </is>
      </c>
      <c r="C18" s="78">
        <f>ROUNDUP(Supuestos!$B$6/INT(6/Supuestos!$B$10),0)</f>
        <v/>
      </c>
      <c r="D18" s="78" t="inlineStr">
        <is>
          <t>barra</t>
        </is>
      </c>
      <c r="E18" s="79" t="inlineStr">
        <is>
          <t>USD</t>
        </is>
      </c>
      <c r="F18" s="80" t="inlineStr">
        <is>
          <t>+IVA</t>
        </is>
      </c>
      <c r="G18" s="81">
        <f>IF(F18="+IVA",J18*(1+Supuestos!$B$5),J18)</f>
        <v/>
      </c>
      <c r="H18" s="82" t="inlineStr">
        <is>
          <t>Calculada</t>
        </is>
      </c>
      <c r="I18" s="83" t="n">
        <v>312.14</v>
      </c>
      <c r="J18" s="84">
        <f>C18*I18</f>
        <v/>
      </c>
      <c r="K18" s="85" t="inlineStr">
        <is>
          <t>De cada barra salen 4 vainas de 1,3 m. Deja holgura alrededor del poste de 6".</t>
        </is>
      </c>
      <c r="L18" s="86" t="inlineStr">
        <is>
          <t>https://www.appelsa.com.uy/product-page/200-x-200-x-4-75mm-30-11kg</t>
        </is>
      </c>
    </row>
    <row r="19" ht="31" customHeight="1" s="63">
      <c r="A19" s="76" t="inlineStr">
        <is>
          <t>Empalmes interiores de los postes: caño redondo 5" × 3 mm, barra de 6 m</t>
        </is>
      </c>
      <c r="B19" s="77" t="inlineStr">
        <is>
          <t>Appelsa</t>
        </is>
      </c>
      <c r="C19" s="78">
        <f>ROUNDUP(Supuestos!$B$6*Supuestos!$B$11/6,0)</f>
        <v/>
      </c>
      <c r="D19" s="78" t="inlineStr">
        <is>
          <t>barra</t>
        </is>
      </c>
      <c r="E19" s="79" t="inlineStr">
        <is>
          <t>USD</t>
        </is>
      </c>
      <c r="F19" s="80" t="inlineStr">
        <is>
          <t>+IVA</t>
        </is>
      </c>
      <c r="G19" s="81">
        <f>IF(F19="+IVA",J19*(1+Supuestos!$B$5),J19)</f>
        <v/>
      </c>
      <c r="H19" s="82" t="inlineStr">
        <is>
          <t>Estimada</t>
        </is>
      </c>
      <c r="I19" s="83" t="n">
        <v>94.11</v>
      </c>
      <c r="J19" s="84">
        <f>C19*I19</f>
        <v/>
      </c>
      <c r="K19" s="96" t="inlineStr">
        <is>
          <t>Une el tramo de 6 m con el de 2 m de cada poste. El largo y la fijación los define el ingeniero.</t>
        </is>
      </c>
      <c r="L19" s="97" t="inlineStr">
        <is>
          <t>https://www.appelsa.com.uy/product-page/5-x-3mm-9-500kg</t>
        </is>
      </c>
    </row>
    <row r="20" ht="31" customHeight="1" s="63">
      <c r="A20" s="76" t="inlineStr">
        <is>
          <t>Tapas de las vainas: chapa negra N.º 12, 1,50 × 3 m</t>
        </is>
      </c>
      <c r="B20" s="77" t="inlineStr">
        <is>
          <t>Appelsa</t>
        </is>
      </c>
      <c r="C20" s="78">
        <f>1</f>
        <v/>
      </c>
      <c r="D20" s="78" t="inlineStr">
        <is>
          <t>chapa</t>
        </is>
      </c>
      <c r="E20" s="79" t="inlineStr">
        <is>
          <t>USD</t>
        </is>
      </c>
      <c r="F20" s="80" t="inlineStr">
        <is>
          <t>+IVA</t>
        </is>
      </c>
      <c r="G20" s="81">
        <f>IF(F20="+IVA",J20*(1+Supuestos!$B$5),J20)</f>
        <v/>
      </c>
      <c r="H20" s="82" t="inlineStr">
        <is>
          <t>Estimada</t>
        </is>
      </c>
      <c r="I20" s="83" t="n">
        <v>140.81</v>
      </c>
      <c r="J20" s="84">
        <f>C20*I20</f>
        <v/>
      </c>
      <c r="K20" s="96" t="inlineStr">
        <is>
          <t>Cierra la parte superior de cada vaina, a ras del piso. No hay link cargado.</t>
        </is>
      </c>
      <c r="L20" s="98" t="n"/>
    </row>
    <row r="21">
      <c r="A21" s="75" t="inlineStr">
        <is>
          <t>Cables y herrajes</t>
        </is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</row>
    <row r="22" ht="31" customHeight="1" s="63">
      <c r="A22" s="87" t="inlineStr">
        <is>
          <t>Cable de acero galvanizado 16 mm (cables principales)</t>
        </is>
      </c>
      <c r="B22" s="88" t="inlineStr">
        <is>
          <t>Bianchi</t>
        </is>
      </c>
      <c r="C22" s="89">
        <f>Supuestos!$B$15*Supuestos!$B$16</f>
        <v/>
      </c>
      <c r="D22" s="89" t="inlineStr">
        <is>
          <t>m</t>
        </is>
      </c>
      <c r="E22" s="90" t="inlineStr">
        <is>
          <t>UYU</t>
        </is>
      </c>
      <c r="F22" s="91" t="inlineStr">
        <is>
          <t>IVA incl.</t>
        </is>
      </c>
      <c r="G22" s="92">
        <f>IF(F22="+IVA",J22*(1+Supuestos!$B$5),J22)</f>
        <v/>
      </c>
      <c r="H22" s="93" t="inlineStr">
        <is>
          <t>Calculada</t>
        </is>
      </c>
      <c r="I22" s="94" t="n">
        <v>495</v>
      </c>
      <c r="J22" s="95">
        <f>C22*I22</f>
        <v/>
      </c>
      <c r="K22" s="96" t="inlineStr">
        <is>
          <t>Alma de cáñamo. La página no publica la carga de rotura: el ingeniero puede pedir alma de acero o más diámetro.</t>
        </is>
      </c>
      <c r="L22" s="97" t="inlineStr">
        <is>
          <t>https://www.bianchi.com.uy/cable-acero-16mmalma-canamo</t>
        </is>
      </c>
    </row>
    <row r="23" ht="31" customHeight="1" s="63">
      <c r="A23" s="87" t="inlineStr">
        <is>
          <t>Cable de acero galvanizado 12 mm (tensores del borde sur)</t>
        </is>
      </c>
      <c r="B23" s="88" t="inlineStr">
        <is>
          <t>Bianchi</t>
        </is>
      </c>
      <c r="C23" s="89">
        <f>Supuestos!$B$17*Supuestos!$B$18</f>
        <v/>
      </c>
      <c r="D23" s="89" t="inlineStr">
        <is>
          <t>m</t>
        </is>
      </c>
      <c r="E23" s="90" t="inlineStr">
        <is>
          <t>UYU</t>
        </is>
      </c>
      <c r="F23" s="91" t="inlineStr">
        <is>
          <t>IVA incl.</t>
        </is>
      </c>
      <c r="G23" s="92">
        <f>IF(F23="+IVA",J23*(1+Supuestos!$B$5),J23)</f>
        <v/>
      </c>
      <c r="H23" s="93" t="inlineStr">
        <is>
          <t>Calculada</t>
        </is>
      </c>
      <c r="I23" s="94" t="n">
        <v>285</v>
      </c>
      <c r="J23" s="95">
        <f>C23*I23</f>
        <v/>
      </c>
      <c r="K23" s="85" t="inlineStr">
        <is>
          <t>Alma de cáñamo. Del tope de cada poste sur a un bloque en el piso.</t>
        </is>
      </c>
      <c r="L23" s="86" t="inlineStr">
        <is>
          <t>https://www.bianchi.com.uy/cable-acero-12mmalma-canamo</t>
        </is>
      </c>
    </row>
    <row r="24" ht="31" customHeight="1" s="63">
      <c r="A24" s="76" t="inlineStr">
        <is>
          <t>Grillete certificado 7/8" (6,5 t)</t>
        </is>
      </c>
      <c r="B24" s="77" t="inlineStr">
        <is>
          <t>Bianchi</t>
        </is>
      </c>
      <c r="C24" s="78">
        <f>Supuestos!$B$15*2</f>
        <v/>
      </c>
      <c r="D24" s="78" t="inlineStr">
        <is>
          <t>u</t>
        </is>
      </c>
      <c r="E24" s="79" t="inlineStr">
        <is>
          <t>USD</t>
        </is>
      </c>
      <c r="F24" s="80" t="inlineStr">
        <is>
          <t>IVA incl.</t>
        </is>
      </c>
      <c r="G24" s="81">
        <f>IF(F24="+IVA",J24*(1+Supuestos!$B$5),J24)</f>
        <v/>
      </c>
      <c r="H24" s="82" t="inlineStr">
        <is>
          <t>Calculada</t>
        </is>
      </c>
      <c r="I24" s="83" t="n">
        <v>40.43</v>
      </c>
      <c r="J24" s="84">
        <f>C24*I24</f>
        <v/>
      </c>
      <c r="K24" s="96" t="inlineStr">
        <is>
          <t>Certificado ABLE, carga de trabajo 6,5 t (mayor que las 5,6 t por cable). 2 por cable.</t>
        </is>
      </c>
      <c r="L24" s="97" t="inlineStr">
        <is>
          <t>https://www.bianchi.com.uy/grillete-alta-resistencia-78-pulga-65ton-certificados-able</t>
        </is>
      </c>
    </row>
    <row r="25" ht="17" customHeight="1" s="63">
      <c r="A25" s="76" t="inlineStr">
        <is>
          <t>Grillete certificado 5/8" (3,25 t)</t>
        </is>
      </c>
      <c r="B25" s="77" t="inlineStr">
        <is>
          <t>Bianchi</t>
        </is>
      </c>
      <c r="C25" s="78">
        <f>Supuestos!$B$17*2</f>
        <v/>
      </c>
      <c r="D25" s="78" t="inlineStr">
        <is>
          <t>u</t>
        </is>
      </c>
      <c r="E25" s="79" t="inlineStr">
        <is>
          <t>USD</t>
        </is>
      </c>
      <c r="F25" s="80" t="inlineStr">
        <is>
          <t>IVA incl.</t>
        </is>
      </c>
      <c r="G25" s="81">
        <f>IF(F25="+IVA",J25*(1+Supuestos!$B$5),J25)</f>
        <v/>
      </c>
      <c r="H25" s="82" t="inlineStr">
        <is>
          <t>Calculada</t>
        </is>
      </c>
      <c r="I25" s="83" t="n">
        <v>16.58</v>
      </c>
      <c r="J25" s="84">
        <f>C25*I25</f>
        <v/>
      </c>
      <c r="K25" s="85" t="inlineStr">
        <is>
          <t>Para los tensores del borde sur. 2 por tensor.</t>
        </is>
      </c>
      <c r="L25" s="86" t="inlineStr">
        <is>
          <t>https://www.bianchi.com.uy/grillete-alta-resistencia-58-pulg-325ton-certificados-able</t>
        </is>
      </c>
    </row>
    <row r="26" ht="31" customHeight="1" s="63">
      <c r="A26" s="87" t="inlineStr">
        <is>
          <t>Tensor ojo y gancho 22 mm (cables principales)</t>
        </is>
      </c>
      <c r="B26" s="88" t="inlineStr">
        <is>
          <t>Bianchi</t>
        </is>
      </c>
      <c r="C26" s="89">
        <f>Supuestos!$B$15</f>
        <v/>
      </c>
      <c r="D26" s="89" t="inlineStr">
        <is>
          <t>u</t>
        </is>
      </c>
      <c r="E26" s="90" t="inlineStr">
        <is>
          <t>UYU</t>
        </is>
      </c>
      <c r="F26" s="91" t="inlineStr">
        <is>
          <t>IVA incl.</t>
        </is>
      </c>
      <c r="G26" s="92">
        <f>IF(F26="+IVA",J26*(1+Supuestos!$B$5),J26)</f>
        <v/>
      </c>
      <c r="H26" s="93" t="inlineStr">
        <is>
          <t>Calculada</t>
        </is>
      </c>
      <c r="I26" s="94" t="n">
        <v>1165</v>
      </c>
      <c r="J26" s="95">
        <f>C26*I26</f>
        <v/>
      </c>
      <c r="K26" s="96" t="inlineStr">
        <is>
          <t>Para tensar cada cable. No publica carga de trabajo: el ingeniero puede pedir tensores certificados ojo-ojo.</t>
        </is>
      </c>
      <c r="L26" s="97" t="inlineStr">
        <is>
          <t>https://www.bianchi.com.uy/tensor-ojo-y-gancho-22mm</t>
        </is>
      </c>
    </row>
    <row r="27" ht="17" customHeight="1" s="63">
      <c r="A27" s="87" t="inlineStr">
        <is>
          <t>Tensor ojo y gancho 16 mm (tensores sur)</t>
        </is>
      </c>
      <c r="B27" s="88" t="inlineStr">
        <is>
          <t>Bianchi</t>
        </is>
      </c>
      <c r="C27" s="89">
        <f>Supuestos!$B$17</f>
        <v/>
      </c>
      <c r="D27" s="89" t="inlineStr">
        <is>
          <t>u</t>
        </is>
      </c>
      <c r="E27" s="90" t="inlineStr">
        <is>
          <t>UYU</t>
        </is>
      </c>
      <c r="F27" s="91" t="inlineStr">
        <is>
          <t>IVA incl.</t>
        </is>
      </c>
      <c r="G27" s="92">
        <f>IF(F27="+IVA",J27*(1+Supuestos!$B$5),J27)</f>
        <v/>
      </c>
      <c r="H27" s="93" t="inlineStr">
        <is>
          <t>Calculada</t>
        </is>
      </c>
      <c r="I27" s="94" t="n">
        <v>506</v>
      </c>
      <c r="J27" s="95">
        <f>C27*I27</f>
        <v/>
      </c>
      <c r="K27" s="85" t="inlineStr">
        <is>
          <t>Uno por tensor del borde sur. No publica carga de trabajo.</t>
        </is>
      </c>
      <c r="L27" s="86" t="inlineStr">
        <is>
          <t>https://www.bianchi.com.uy/tensor-ojo-y-gancho-16mm</t>
        </is>
      </c>
    </row>
    <row r="28" ht="17" customHeight="1" s="63">
      <c r="A28" s="87" t="inlineStr">
        <is>
          <t>Apretacable para cable de 16 mm</t>
        </is>
      </c>
      <c r="B28" s="88" t="inlineStr">
        <is>
          <t>Bianchi</t>
        </is>
      </c>
      <c r="C28" s="89">
        <f>Supuestos!$B$15*2*Supuestos!$B$19</f>
        <v/>
      </c>
      <c r="D28" s="89" t="inlineStr">
        <is>
          <t>u</t>
        </is>
      </c>
      <c r="E28" s="90" t="inlineStr">
        <is>
          <t>UYU</t>
        </is>
      </c>
      <c r="F28" s="91" t="inlineStr">
        <is>
          <t>IVA incl.</t>
        </is>
      </c>
      <c r="G28" s="92">
        <f>IF(F28="+IVA",J28*(1+Supuestos!$B$5),J28)</f>
        <v/>
      </c>
      <c r="H28" s="93" t="inlineStr">
        <is>
          <t>Estimada</t>
        </is>
      </c>
      <c r="I28" s="94" t="n">
        <v>137</v>
      </c>
      <c r="J28" s="95">
        <f>C28*I28</f>
        <v/>
      </c>
      <c r="K28" s="96" t="inlineStr">
        <is>
          <t>3 por extremo de cable, 2 extremos por cable.</t>
        </is>
      </c>
      <c r="L28" s="97" t="inlineStr">
        <is>
          <t>https://www.bianchi.com.uy/apretacable-para-cable-de-acero-16-mm</t>
        </is>
      </c>
    </row>
    <row r="29" ht="17" customHeight="1" s="63">
      <c r="A29" s="87" t="inlineStr">
        <is>
          <t>Apretacable para cable de 12 mm</t>
        </is>
      </c>
      <c r="B29" s="88" t="inlineStr">
        <is>
          <t>Bianchi</t>
        </is>
      </c>
      <c r="C29" s="89">
        <f>Supuestos!$B$17*2*Supuestos!$B$19</f>
        <v/>
      </c>
      <c r="D29" s="89" t="inlineStr">
        <is>
          <t>u</t>
        </is>
      </c>
      <c r="E29" s="90" t="inlineStr">
        <is>
          <t>UYU</t>
        </is>
      </c>
      <c r="F29" s="91" t="inlineStr">
        <is>
          <t>IVA incl.</t>
        </is>
      </c>
      <c r="G29" s="92">
        <f>IF(F29="+IVA",J29*(1+Supuestos!$B$5),J29)</f>
        <v/>
      </c>
      <c r="H29" s="93" t="inlineStr">
        <is>
          <t>Estimada</t>
        </is>
      </c>
      <c r="I29" s="94" t="n">
        <v>96</v>
      </c>
      <c r="J29" s="95">
        <f>C29*I29</f>
        <v/>
      </c>
      <c r="K29" s="85" t="inlineStr">
        <is>
          <t>3 por extremo, 2 extremos por tensor sur.</t>
        </is>
      </c>
      <c r="L29" s="86" t="inlineStr">
        <is>
          <t>https://www.bianchi.com.uy/apretacable-para-cable-de-acero-12-mm</t>
        </is>
      </c>
    </row>
    <row r="30">
      <c r="A30" s="75" t="inlineStr">
        <is>
          <t>Anclajes en paredes</t>
        </is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</row>
    <row r="31" ht="31" customHeight="1" s="63">
      <c r="A31" s="76" t="inlineStr">
        <is>
          <t>Placas de anclaje en paredes y cabezales: planchuela 5/8" × 5", barra de 6 m</t>
        </is>
      </c>
      <c r="B31" s="77" t="inlineStr">
        <is>
          <t>Appelsa</t>
        </is>
      </c>
      <c r="C31" s="78">
        <f>ROUNDUP((Supuestos!$B$12*Supuestos!$B$13+Supuestos!$B$6*Supuestos!$B$14)/6,0)</f>
        <v/>
      </c>
      <c r="D31" s="78" t="inlineStr">
        <is>
          <t>barra</t>
        </is>
      </c>
      <c r="E31" s="79" t="inlineStr">
        <is>
          <t>USD</t>
        </is>
      </c>
      <c r="F31" s="80" t="inlineStr">
        <is>
          <t>+IVA</t>
        </is>
      </c>
      <c r="G31" s="81">
        <f>IF(F31="+IVA",J31*(1+Supuestos!$B$5),J31)</f>
        <v/>
      </c>
      <c r="H31" s="82" t="inlineStr">
        <is>
          <t>Estimada</t>
        </is>
      </c>
      <c r="I31" s="83" t="n">
        <v>140.07</v>
      </c>
      <c r="J31" s="84">
        <f>C31*I31</f>
        <v/>
      </c>
      <c r="K31" s="85" t="inlineStr">
        <is>
          <t>10 placas de 0,3 m + 12 cabezales de 0,2 m = 5,4 m.</t>
        </is>
      </c>
      <c r="L31" s="86" t="inlineStr">
        <is>
          <t>https://www.appelsa.com.uy/product-page/5-8-x-5-96-6kg</t>
        </is>
      </c>
    </row>
    <row r="32" ht="17" customHeight="1" s="63">
      <c r="A32" s="87" t="inlineStr">
        <is>
          <t>Adhesivo para anclajes químicos Anchofrix 300 ml</t>
        </is>
      </c>
      <c r="B32" s="88" t="inlineStr">
        <is>
          <t>Sodimac</t>
        </is>
      </c>
      <c r="C32" s="89">
        <f>ROUNDUP(Supuestos!$B$12*Supuestos!$B$20/Supuestos!$B$21,0)</f>
        <v/>
      </c>
      <c r="D32" s="89" t="inlineStr">
        <is>
          <t>u</t>
        </is>
      </c>
      <c r="E32" s="90" t="inlineStr">
        <is>
          <t>UYU</t>
        </is>
      </c>
      <c r="F32" s="91" t="inlineStr">
        <is>
          <t>IVA incl.</t>
        </is>
      </c>
      <c r="G32" s="92">
        <f>IF(F32="+IVA",J32*(1+Supuestos!$B$5),J32)</f>
        <v/>
      </c>
      <c r="H32" s="93" t="inlineStr">
        <is>
          <t>Estimada</t>
        </is>
      </c>
      <c r="I32" s="94" t="n">
        <v>1696</v>
      </c>
      <c r="J32" s="95">
        <f>C32*I32</f>
        <v/>
      </c>
      <c r="K32" s="96" t="inlineStr">
        <is>
          <t>Para fijar las varillas de las placas en las paredes.</t>
        </is>
      </c>
      <c r="L32" s="97" t="inlineStr">
        <is>
          <t>https://www.sodimac.com.uy/sodimac-uy/product/1898396/</t>
        </is>
      </c>
    </row>
    <row r="33" ht="31" customHeight="1" s="63">
      <c r="A33" s="87" t="inlineStr">
        <is>
          <t>Varilla roscada zincada 1/2" × 1 m</t>
        </is>
      </c>
      <c r="B33" s="88" t="inlineStr">
        <is>
          <t>Sodimac</t>
        </is>
      </c>
      <c r="C33" s="89">
        <f>ROUNDUP(Supuestos!$B$12*Supuestos!$B$20*Supuestos!$B$22,0)+ROUNDUP(Supuestos!$B$6/Supuestos!$B$23,0)</f>
        <v/>
      </c>
      <c r="D33" s="89" t="inlineStr">
        <is>
          <t>u</t>
        </is>
      </c>
      <c r="E33" s="90" t="inlineStr">
        <is>
          <t>UYU</t>
        </is>
      </c>
      <c r="F33" s="91" t="inlineStr">
        <is>
          <t>IVA incl.</t>
        </is>
      </c>
      <c r="G33" s="92">
        <f>IF(F33="+IVA",J33*(1+Supuestos!$B$5),J33)</f>
        <v/>
      </c>
      <c r="H33" s="93" t="inlineStr">
        <is>
          <t>Estimada</t>
        </is>
      </c>
      <c r="I33" s="94" t="n">
        <v>169</v>
      </c>
      <c r="J33" s="95">
        <f>C33*I33</f>
        <v/>
      </c>
      <c r="K33" s="85" t="inlineStr">
        <is>
          <t>Anclajes de las placas (40 × 0,25 m) y pasadores de los postes (12).</t>
        </is>
      </c>
      <c r="L33" s="86" t="inlineStr">
        <is>
          <t>https://www.sodimac.com.uy/sodimac-uy/product/3254011/</t>
        </is>
      </c>
    </row>
    <row r="34" ht="17" customHeight="1" s="63">
      <c r="A34" s="87" t="inlineStr">
        <is>
          <t>Arandela plana 1/2" (paquete de 20)</t>
        </is>
      </c>
      <c r="B34" s="88" t="inlineStr">
        <is>
          <t>Sodimac</t>
        </is>
      </c>
      <c r="C34" s="89">
        <f>ROUNDUP((Supuestos!$B$12*Supuestos!$B$20+Supuestos!$B$6*2)/20,0)</f>
        <v/>
      </c>
      <c r="D34" s="89" t="inlineStr">
        <is>
          <t>paquete</t>
        </is>
      </c>
      <c r="E34" s="90" t="inlineStr">
        <is>
          <t>UYU</t>
        </is>
      </c>
      <c r="F34" s="91" t="inlineStr">
        <is>
          <t>IVA incl.</t>
        </is>
      </c>
      <c r="G34" s="92">
        <f>IF(F34="+IVA",J34*(1+Supuestos!$B$5),J34)</f>
        <v/>
      </c>
      <c r="H34" s="93" t="inlineStr">
        <is>
          <t>Estimada</t>
        </is>
      </c>
      <c r="I34" s="94" t="n">
        <v>249</v>
      </c>
      <c r="J34" s="95">
        <f>C34*I34</f>
        <v/>
      </c>
      <c r="K34" s="96" t="inlineStr">
        <is>
          <t>Para anclajes y pasadores.</t>
        </is>
      </c>
      <c r="L34" s="97" t="inlineStr">
        <is>
          <t>https://www.sodimac.com.uy/sodimac-uy/product/1982427/</t>
        </is>
      </c>
    </row>
    <row r="36" ht="30" customHeight="1" s="63">
      <c r="A36" s="65" t="inlineStr">
        <is>
          <t>No incluye mano de obra, hormigón (habría que perforar el piso del colegio), ingeniero estructural, galvanizado ni equipo de elevación. Ver la hoja Observaciones.</t>
        </is>
      </c>
    </row>
  </sheetData>
  <mergeCells count="2">
    <mergeCell ref="A36:H36"/>
    <mergeCell ref="A2:H2"/>
  </mergeCells>
  <hyperlinks>
    <hyperlink xmlns:r="http://schemas.openxmlformats.org/officeDocument/2006/relationships" ref="L14" r:id="rId1"/>
    <hyperlink xmlns:r="http://schemas.openxmlformats.org/officeDocument/2006/relationships" ref="L15" r:id="rId2"/>
    <hyperlink xmlns:r="http://schemas.openxmlformats.org/officeDocument/2006/relationships" ref="L17" r:id="rId3"/>
    <hyperlink xmlns:r="http://schemas.openxmlformats.org/officeDocument/2006/relationships" ref="L18" r:id="rId4"/>
    <hyperlink xmlns:r="http://schemas.openxmlformats.org/officeDocument/2006/relationships" ref="L19" r:id="rId5"/>
    <hyperlink xmlns:r="http://schemas.openxmlformats.org/officeDocument/2006/relationships" ref="L22" r:id="rId6"/>
    <hyperlink xmlns:r="http://schemas.openxmlformats.org/officeDocument/2006/relationships" ref="L23" r:id="rId7"/>
    <hyperlink xmlns:r="http://schemas.openxmlformats.org/officeDocument/2006/relationships" ref="L24" r:id="rId8"/>
    <hyperlink xmlns:r="http://schemas.openxmlformats.org/officeDocument/2006/relationships" ref="L25" r:id="rId9"/>
    <hyperlink xmlns:r="http://schemas.openxmlformats.org/officeDocument/2006/relationships" ref="L26" r:id="rId10"/>
    <hyperlink xmlns:r="http://schemas.openxmlformats.org/officeDocument/2006/relationships" ref="L27" r:id="rId11"/>
    <hyperlink xmlns:r="http://schemas.openxmlformats.org/officeDocument/2006/relationships" ref="L28" r:id="rId12"/>
    <hyperlink xmlns:r="http://schemas.openxmlformats.org/officeDocument/2006/relationships" ref="L29" r:id="rId13"/>
    <hyperlink xmlns:r="http://schemas.openxmlformats.org/officeDocument/2006/relationships" ref="L31" r:id="rId14"/>
    <hyperlink xmlns:r="http://schemas.openxmlformats.org/officeDocument/2006/relationships" ref="L32" r:id="rId15"/>
    <hyperlink xmlns:r="http://schemas.openxmlformats.org/officeDocument/2006/relationships" ref="L33" r:id="rId16"/>
    <hyperlink xmlns:r="http://schemas.openxmlformats.org/officeDocument/2006/relationships" ref="L34" r:id="rId17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 filterMode="0">
    <tabColor rgb="FF548235"/>
    <outlinePr summaryBelow="1" summaryRight="1"/>
    <pageSetUpPr fitToPage="1"/>
  </sheetPr>
  <dimension ref="A1:D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31" activeCellId="0" sqref="A31"/>
    </sheetView>
  </sheetViews>
  <sheetFormatPr baseColWidth="8" defaultColWidth="8.54296875" defaultRowHeight="15" customHeight="0" zeroHeight="0" outlineLevelRow="0"/>
  <cols>
    <col width="52" customWidth="1" style="99" min="1" max="1"/>
    <col width="12" customWidth="1" style="99" min="2" max="3"/>
    <col width="70" customWidth="1" style="99" min="4" max="4"/>
  </cols>
  <sheetData>
    <row r="1" ht="30" customHeight="1" s="63">
      <c r="A1" s="64" t="inlineStr">
        <is>
          <t>Supuestos</t>
        </is>
      </c>
    </row>
    <row r="2" ht="18" customHeight="1" s="63">
      <c r="A2" s="100" t="inlineStr">
        <is>
          <t>Datos que se usan para calcular las otras hojas. Los valores en azul se pueden cambiar y todo se recalcula.</t>
        </is>
      </c>
    </row>
    <row r="3" ht="7.5" customHeight="1" s="63">
      <c r="A3" s="101" t="n"/>
      <c r="B3" s="101" t="n"/>
      <c r="C3" s="101" t="n"/>
      <c r="D3" s="101" t="n"/>
    </row>
    <row r="4" ht="30" customHeight="1" s="63">
      <c r="A4" s="102" t="inlineStr">
        <is>
          <t>Concepto</t>
        </is>
      </c>
      <c r="B4" s="102" t="inlineStr">
        <is>
          <t>Valor</t>
        </is>
      </c>
      <c r="C4" s="102" t="inlineStr">
        <is>
          <t>Unidad</t>
        </is>
      </c>
      <c r="D4" s="102" t="inlineStr">
        <is>
          <t>De dónde sale</t>
        </is>
      </c>
    </row>
    <row r="5" ht="19.5" customHeight="1" s="63">
      <c r="A5" s="88" t="inlineStr">
        <is>
          <t>IVA básico de Uruguay</t>
        </is>
      </c>
      <c r="B5" s="103" t="n">
        <v>0.22</v>
      </c>
      <c r="C5" s="89" t="inlineStr">
        <is>
          <t>%</t>
        </is>
      </c>
      <c r="D5" s="104" t="inlineStr">
        <is>
          <t>Tasa básica de IVA en Uruguay.</t>
        </is>
      </c>
    </row>
    <row r="6" ht="19.5" customHeight="1" s="63">
      <c r="A6" s="105" t="inlineStr">
        <is>
          <t>Cantidad de postes</t>
        </is>
      </c>
      <c r="B6" s="106" t="n">
        <v>12</v>
      </c>
      <c r="C6" s="107" t="inlineStr">
        <is>
          <t>u</t>
        </is>
      </c>
      <c r="D6" s="108" t="inlineStr">
        <is>
          <t>Recomendacion_postes_Idea2.docx: 3 filas de 4 postes.</t>
        </is>
      </c>
    </row>
    <row r="7" ht="19.5" customHeight="1" s="63">
      <c r="A7" s="88" t="inlineStr">
        <is>
          <t>Largo de cada poste</t>
        </is>
      </c>
      <c r="B7" s="106" t="n">
        <v>8</v>
      </c>
      <c r="C7" s="89" t="inlineStr">
        <is>
          <t>m</t>
        </is>
      </c>
      <c r="D7" s="104" t="inlineStr">
        <is>
          <t>7 m sobre el piso + 1 m dentro de la vaina; se arma en tramos de 6 m + 2 m.</t>
        </is>
      </c>
    </row>
    <row r="8" ht="19.5" customHeight="1" s="63">
      <c r="A8" s="105" t="inlineStr">
        <is>
          <t>Barras de 6 m cada 3 postes</t>
        </is>
      </c>
      <c r="B8" s="106" t="n">
        <v>4</v>
      </c>
      <c r="C8" s="107" t="inlineStr">
        <is>
          <t>u</t>
        </is>
      </c>
      <c r="D8" s="108" t="inlineStr">
        <is>
          <t>3 barras enteras para los tramos de 6 m + 1 barra cortada en 3 tramos de 2 m.</t>
        </is>
      </c>
    </row>
    <row r="9" ht="19.5" customHeight="1" s="63">
      <c r="A9" s="88" t="inlineStr">
        <is>
          <t>Barras de reserva (cortes y errores)</t>
        </is>
      </c>
      <c r="B9" s="106" t="n">
        <v>2</v>
      </c>
      <c r="C9" s="89" t="inlineStr">
        <is>
          <t>u</t>
        </is>
      </c>
      <c r="D9" s="104" t="inlineStr">
        <is>
          <t>Margen propio.</t>
        </is>
      </c>
    </row>
    <row r="10" ht="19.5" customHeight="1" s="63">
      <c r="A10" s="105" t="inlineStr">
        <is>
          <t>Largo de cada vaina</t>
        </is>
      </c>
      <c r="B10" s="106" t="n">
        <v>1.3</v>
      </c>
      <c r="C10" s="107" t="inlineStr">
        <is>
          <t>m</t>
        </is>
      </c>
      <c r="D10" s="108" t="inlineStr">
        <is>
          <t>El poste entra 1 m; 0,3 m para el fondo con drenaje.</t>
        </is>
      </c>
    </row>
    <row r="11" ht="19.5" customHeight="1" s="63">
      <c r="A11" s="88" t="inlineStr">
        <is>
          <t>Largo de cada empalme interior</t>
        </is>
      </c>
      <c r="B11" s="106" t="n">
        <v>0.6</v>
      </c>
      <c r="C11" s="89" t="inlineStr">
        <is>
          <t>m</t>
        </is>
      </c>
      <c r="D11" s="104" t="inlineStr">
        <is>
          <t>0,3 m dentro de cada tramo del poste. Lo define el ingeniero.</t>
        </is>
      </c>
    </row>
    <row r="12" ht="19.5" customHeight="1" s="63">
      <c r="A12" s="105" t="inlineStr">
        <is>
          <t>Placas de anclaje en paredes</t>
        </is>
      </c>
      <c r="B12" s="106" t="n">
        <v>10</v>
      </c>
      <c r="C12" s="107" t="inlineStr">
        <is>
          <t>u</t>
        </is>
      </c>
      <c r="D12" s="108" t="inlineStr">
        <is>
          <t>5 cables × 2 paredes (este y oeste).</t>
        </is>
      </c>
    </row>
    <row r="13" ht="19.5" customHeight="1" s="63">
      <c r="A13" s="88" t="inlineStr">
        <is>
          <t>Largo de cada placa de anclaje</t>
        </is>
      </c>
      <c r="B13" s="106" t="n">
        <v>0.3</v>
      </c>
      <c r="C13" s="89" t="inlineStr">
        <is>
          <t>m</t>
        </is>
      </c>
      <c r="D13" s="104" t="inlineStr">
        <is>
          <t>Supuesto para 4 anclajes por placa.</t>
        </is>
      </c>
    </row>
    <row r="14" ht="19.5" customHeight="1" s="63">
      <c r="A14" s="105" t="inlineStr">
        <is>
          <t>Largo de cada cabezal (punta del poste)</t>
        </is>
      </c>
      <c r="B14" s="106" t="n">
        <v>0.2</v>
      </c>
      <c r="C14" s="107" t="inlineStr">
        <is>
          <t>m</t>
        </is>
      </c>
      <c r="D14" s="108" t="inlineStr">
        <is>
          <t>Pieza de apoyo del cable.</t>
        </is>
      </c>
    </row>
    <row r="15" ht="19.5" customHeight="1" s="63">
      <c r="A15" s="88" t="inlineStr">
        <is>
          <t>Cables principales este-oeste</t>
        </is>
      </c>
      <c r="B15" s="106" t="n">
        <v>5</v>
      </c>
      <c r="C15" s="89" t="inlineStr">
        <is>
          <t>u</t>
        </is>
      </c>
      <c r="D15" s="104" t="inlineStr">
        <is>
          <t>Recomendacion_postes_Idea2.docx.</t>
        </is>
      </c>
    </row>
    <row r="16" ht="19.5" customHeight="1" s="63">
      <c r="A16" s="105" t="inlineStr">
        <is>
          <t>Largo de cada cable principal</t>
        </is>
      </c>
      <c r="B16" s="106" t="n">
        <v>43</v>
      </c>
      <c r="C16" s="107" t="inlineStr">
        <is>
          <t>m</t>
        </is>
      </c>
      <c r="D16" s="108" t="inlineStr">
        <is>
          <t>40,9 m de pared a pared + unos 2 m para terminaciones.</t>
        </is>
      </c>
    </row>
    <row r="17" ht="19.5" customHeight="1" s="63">
      <c r="A17" s="88" t="inlineStr">
        <is>
          <t>Tensores de los postes del borde sur</t>
        </is>
      </c>
      <c r="B17" s="106" t="n">
        <v>3</v>
      </c>
      <c r="C17" s="89" t="inlineStr">
        <is>
          <t>u</t>
        </is>
      </c>
      <c r="D17" s="104" t="inlineStr">
        <is>
          <t>Un tensor por poste del borde sur.</t>
        </is>
      </c>
    </row>
    <row r="18" ht="19.5" customHeight="1" s="63">
      <c r="A18" s="105" t="inlineStr">
        <is>
          <t>Largo de cada tensor sur</t>
        </is>
      </c>
      <c r="B18" s="106" t="n">
        <v>9</v>
      </c>
      <c r="C18" s="107" t="inlineStr">
        <is>
          <t>m</t>
        </is>
      </c>
      <c r="D18" s="108" t="inlineStr">
        <is>
          <t>Del tope del poste (7 m) a un punto 3,5 m al sur: 7,8 m + terminaciones.</t>
        </is>
      </c>
    </row>
    <row r="19" ht="19.5" customHeight="1" s="63">
      <c r="A19" s="88" t="inlineStr">
        <is>
          <t>Apretacables por extremo de cable</t>
        </is>
      </c>
      <c r="B19" s="106" t="n">
        <v>3</v>
      </c>
      <c r="C19" s="89" t="inlineStr">
        <is>
          <t>u</t>
        </is>
      </c>
      <c r="D19" s="104" t="inlineStr">
        <is>
          <t>Práctica habitual para cables de este diámetro.</t>
        </is>
      </c>
    </row>
    <row r="20" ht="19.5" customHeight="1" s="63">
      <c r="A20" s="105" t="inlineStr">
        <is>
          <t>Anclajes químicos por placa</t>
        </is>
      </c>
      <c r="B20" s="106" t="n">
        <v>4</v>
      </c>
      <c r="C20" s="107" t="inlineStr">
        <is>
          <t>u</t>
        </is>
      </c>
      <c r="D20" s="108" t="inlineStr">
        <is>
          <t>Supuesto; lo define el ingeniero.</t>
        </is>
      </c>
    </row>
    <row r="21" ht="19.5" customHeight="1" s="63">
      <c r="A21" s="88" t="inlineStr">
        <is>
          <t>Anclajes por cartucho de adhesivo</t>
        </is>
      </c>
      <c r="B21" s="106" t="n">
        <v>10</v>
      </c>
      <c r="C21" s="89" t="inlineStr">
        <is>
          <t>u</t>
        </is>
      </c>
      <c r="D21" s="104" t="inlineStr">
        <is>
          <t>Estimación (cartucho de 300 ml).</t>
        </is>
      </c>
    </row>
    <row r="22" ht="19.5" customHeight="1" s="63">
      <c r="A22" s="105" t="inlineStr">
        <is>
          <t>Largo de varilla por anclaje</t>
        </is>
      </c>
      <c r="B22" s="106" t="n">
        <v>0.25</v>
      </c>
      <c r="C22" s="107" t="inlineStr">
        <is>
          <t>m</t>
        </is>
      </c>
      <c r="D22" s="108" t="inlineStr">
        <is>
          <t>Supuesto.</t>
        </is>
      </c>
    </row>
    <row r="23" ht="19.5" customHeight="1" s="63">
      <c r="A23" s="88" t="inlineStr">
        <is>
          <t>Pasadores por varilla de 1 m</t>
        </is>
      </c>
      <c r="B23" s="106" t="n">
        <v>3</v>
      </c>
      <c r="C23" s="89" t="inlineStr">
        <is>
          <t>u</t>
        </is>
      </c>
      <c r="D23" s="104" t="inlineStr">
        <is>
          <t>Cada pasador cruza la vaina de 200 mm: unos 0,33 m.</t>
        </is>
      </c>
    </row>
    <row r="24" ht="31.5" customHeight="1" s="63">
      <c r="A24" s="105" t="inlineStr">
        <is>
          <t>Ojales de la lona</t>
        </is>
      </c>
      <c r="B24" s="106" t="n">
        <v>508</v>
      </c>
      <c r="C24" s="107" t="inlineStr">
        <is>
          <t>u</t>
        </is>
      </c>
      <c r="D24" s="108" t="inlineStr">
        <is>
          <t>Perímetro de 131 m cada 0,5 m (262) + 3 líneas interiores de 41 m cada 0,5 m (246).</t>
        </is>
      </c>
    </row>
    <row r="25" ht="19.5" customHeight="1" s="63">
      <c r="A25" s="88" t="inlineStr">
        <is>
          <t>Cuerda por ojal</t>
        </is>
      </c>
      <c r="B25" s="106" t="n">
        <v>1</v>
      </c>
      <c r="C25" s="89" t="inlineStr">
        <is>
          <t>m</t>
        </is>
      </c>
      <c r="D25" s="104" t="inlineStr">
        <is>
          <t>Estimación propia.</t>
        </is>
      </c>
    </row>
    <row r="26" ht="19.5" customHeight="1" s="63">
      <c r="A26" s="105" t="inlineStr">
        <is>
          <t>Superficie de la lona</t>
        </is>
      </c>
      <c r="B26" s="106">
        <f>41*24.5</f>
        <v/>
      </c>
      <c r="C26" s="107" t="inlineStr">
        <is>
          <t>m²</t>
        </is>
      </c>
      <c r="D26" s="108" t="inlineStr">
        <is>
          <t>Lona de 41 × 24,5 m (cotización de Romela).</t>
        </is>
      </c>
    </row>
    <row r="27" ht="19.5" customHeight="1" s="63">
      <c r="A27" s="88" t="inlineStr">
        <is>
          <t>Superficie de un paño de Polientile</t>
        </is>
      </c>
      <c r="B27" s="106">
        <f>1*4.2</f>
        <v/>
      </c>
      <c r="C27" s="89" t="inlineStr">
        <is>
          <t>m²</t>
        </is>
      </c>
      <c r="D27" s="104" t="inlineStr">
        <is>
          <t>Cotización de Polientile: paño de 1 × 4,20 m (dato del equipo).</t>
        </is>
      </c>
    </row>
    <row r="29" ht="24" customHeight="1" s="63">
      <c r="A29" s="109" t="inlineStr">
        <is>
          <t>Notas sobre IVA, unidades y cargas de diseño: ver la hoja Observaciones.</t>
        </is>
      </c>
    </row>
    <row r="30" ht="18" customHeight="1" s="63"/>
    <row r="31" ht="18" customHeight="1" s="63"/>
    <row r="32" ht="18" customHeight="1" s="63"/>
    <row r="33" ht="18" customHeight="1" s="63"/>
    <row r="34" ht="30" customHeight="1" s="63"/>
    <row r="35" ht="30" customHeight="1" s="63"/>
    <row r="36" ht="18" customHeight="1" s="63"/>
    <row r="37" ht="18" customHeight="1" s="63"/>
  </sheetData>
  <mergeCells count="1">
    <mergeCell ref="A29:D2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BF9000"/>
    <outlinePr summaryBelow="1" summaryRight="1"/>
    <pageSetUpPr fitToPage="1"/>
  </sheetPr>
  <dimension ref="A1:B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0" activeCellId="0" sqref="B10"/>
    </sheetView>
  </sheetViews>
  <sheetFormatPr baseColWidth="8" defaultColWidth="8.54296875" defaultRowHeight="15" customHeight="0" zeroHeight="0" outlineLevelRow="0"/>
  <cols>
    <col width="30" customWidth="1" style="99" min="1" max="1"/>
    <col width="100" customWidth="1" style="99" min="2" max="2"/>
  </cols>
  <sheetData>
    <row r="1" ht="30" customHeight="1" s="63">
      <c r="A1" s="64" t="inlineStr">
        <is>
          <t>Observaciones</t>
        </is>
      </c>
    </row>
    <row r="2" ht="18" customHeight="1" s="63">
      <c r="A2" s="100" t="inlineStr">
        <is>
          <t>Datos relevantes que no entran en los totales.</t>
        </is>
      </c>
    </row>
    <row r="3" ht="7.5" customHeight="1" s="63">
      <c r="A3" s="101" t="n"/>
      <c r="B3" s="101" t="n"/>
    </row>
    <row r="4" ht="21.75" customHeight="1" s="63">
      <c r="A4" s="110" t="inlineStr">
        <is>
          <t>No incluido en los gastos</t>
        </is>
      </c>
      <c r="B4" s="111" t="n"/>
    </row>
    <row r="5" ht="21.75" customHeight="1" s="63">
      <c r="A5" s="112" t="inlineStr">
        <is>
          <t>Mano de obra</t>
        </is>
      </c>
      <c r="B5" s="88" t="inlineStr">
        <is>
          <t>No se incluye en ningún cálculo: armado, montaje, soldadura y cortes quedan fuera.</t>
        </is>
      </c>
    </row>
    <row r="6" ht="31.5" customHeight="1" s="63">
      <c r="A6" s="112" t="inlineStr">
        <is>
          <t>Hormigón</t>
        </is>
      </c>
      <c r="B6" s="88" t="inlineStr">
        <is>
          <t>No se incluye porque habría que perforar el piso del colegio y usar ese material. Serían 12 bases de unos 1,4 m³ (cerca de 17 m³) y 3 bloques para los tensores del borde sur.</t>
        </is>
      </c>
    </row>
    <row r="7" ht="21.75" customHeight="1" s="63">
      <c r="A7" s="112" t="inlineStr">
        <is>
          <t>Ingeniero estructural</t>
        </is>
      </c>
      <c r="B7" s="88" t="inlineStr">
        <is>
          <t>Tiene que verificar y firmar el cálculo: viento, cables, anclajes, vainas, empalmes y bases.</t>
        </is>
      </c>
    </row>
    <row r="8" ht="21.75" customHeight="1" s="63">
      <c r="A8" s="112" t="inlineStr">
        <is>
          <t>Galvanizado en caliente</t>
        </is>
      </c>
      <c r="B8" s="88" t="inlineStr">
        <is>
          <t>Tubacero lo hace a terceros (Coronel Raíz 949, tel. 2354 3300), pero no publica precio.</t>
        </is>
      </c>
    </row>
    <row r="9" ht="21.75" customHeight="1" s="63">
      <c r="A9" s="112" t="inlineStr">
        <is>
          <t>Plataforma elevadora o grúa</t>
        </is>
      </c>
      <c r="B9" s="88" t="inlineStr">
        <is>
          <t>Hace falta para trabajar a 7 m y parar postes de unos 96 kg. Sin precio publicado.</t>
        </is>
      </c>
    </row>
    <row r="10" ht="31.5" customHeight="1" s="63">
      <c r="A10" s="112" t="inlineStr">
        <is>
          <t>Guardacabos 16 mm y tuercas 1/2"</t>
        </is>
      </c>
      <c r="B10" s="88" t="inlineStr">
        <is>
          <t>No encontramos precio online. Comprarlos junto con el resto de la ferretería.</t>
        </is>
      </c>
    </row>
    <row r="12" ht="21.75" customHeight="1" s="63">
      <c r="A12" s="110" t="inlineStr">
        <is>
          <t>Avisos técnicos</t>
        </is>
      </c>
      <c r="B12" s="111" t="n"/>
    </row>
    <row r="13" ht="31.5" customHeight="1" s="63">
      <c r="A13" s="112" t="inlineStr">
        <is>
          <t>Cables y tensores</t>
        </is>
      </c>
      <c r="B13" s="88" t="inlineStr">
        <is>
          <t>El cable de 16 mm (alma de cáñamo) y los tensores con gancho no publican su carga de trabajo. El ingeniero puede pedir cable de alma de acero, más diámetro o tensores certificados ojo-ojo.</t>
        </is>
      </c>
    </row>
    <row r="14" ht="21.75" customHeight="1" s="63">
      <c r="A14" s="112" t="inlineStr">
        <is>
          <t>Caño de Appelsa</t>
        </is>
      </c>
      <c r="B14" s="88" t="inlineStr">
        <is>
          <t>La página no aclara si el caño es galvanizado o negro. Si es negro, hay que galvanizarlo o protegerlo.</t>
        </is>
      </c>
    </row>
    <row r="15" ht="21.75" customHeight="1" s="63">
      <c r="A15" s="112" t="inlineStr">
        <is>
          <t>Cotizaciones propias</t>
        </is>
      </c>
      <c r="B15" s="88" t="inlineStr">
        <is>
          <t>Romela Toldos, Polientile y Nico están en la carpeta Cotizaciones del proyecto.</t>
        </is>
      </c>
    </row>
    <row r="16" ht="31.5" customHeight="1" s="63">
      <c r="A16" s="112" t="inlineStr">
        <is>
          <t>Techo de Nico</t>
        </is>
      </c>
      <c r="B16" s="88" t="inlineStr">
        <is>
          <t>Su cotización ("muy por arriba de 50 dólares por m²") era para un techo de chapa con estructura metálica, no para esta idea; por eso no figura como proveedor.</t>
        </is>
      </c>
    </row>
    <row r="18" ht="21.75" customHeight="1" s="63">
      <c r="A18" s="110" t="inlineStr">
        <is>
          <t>Notas sobre los supuestos</t>
        </is>
      </c>
      <c r="B18" s="111" t="n"/>
    </row>
    <row r="19" ht="45" customHeight="1" s="63">
      <c r="A19" s="112" t="inlineStr">
        <is>
          <t>IVA por proveedor</t>
        </is>
      </c>
      <c r="B19" s="88" t="inlineStr">
        <is>
          <t>Appelsa publica en dólares, por unidad y sin IVA (lo dice su página); se le suma el IVA de la hoja Supuestos. Sodimac, Barraca Julia y Polietileno Obelisco: precios al público con IVA incluido. Bianchi: la página no aclara el IVA; se toma como precio al público con IVA incluido. Confirmar.</t>
        </is>
      </c>
    </row>
    <row r="20" ht="31" customHeight="1" s="63">
      <c r="A20" s="112" t="inlineStr">
        <is>
          <t>Unidad de los cables</t>
        </is>
      </c>
      <c r="B20" s="88" t="inlineStr">
        <is>
          <t>Las páginas de Bianchi del cable de 16 mm y de 12 mm no dicen la unidad; se toma como precio por metro (el de 5 mm dice "por metro"). Confirmar.</t>
        </is>
      </c>
    </row>
    <row r="21" ht="31" customHeight="1" s="63">
      <c r="A21" s="112" t="inlineStr">
        <is>
          <t>Caño de 6" de Appelsa</t>
        </is>
      </c>
      <c r="B21" s="88" t="inlineStr">
        <is>
          <t>Diámetro exterior unos 165 mm (deducido de 11,97 kg/m con 3 mm de pared). Por eso la vaina es el tubo de 200 × 200 mm: el de 180 × 180 deja muy poca holgura.</t>
        </is>
      </c>
    </row>
    <row r="22" ht="17" customHeight="1" s="63">
      <c r="A22" s="112" t="inlineStr">
        <is>
          <t>Cargas de diseño</t>
        </is>
      </c>
      <c r="B22" s="88" t="inlineStr">
        <is>
          <t>De Recomendacion_postes_Idea2.docx: viento de 0,35 kN/m² y hasta 5,6 t por cable principal.</t>
        </is>
      </c>
    </row>
    <row r="23" ht="17" customHeight="1" s="63">
      <c r="A23" s="112" t="inlineStr">
        <is>
          <t>Precios</t>
        </is>
      </c>
      <c r="B23" s="88" t="inlineStr">
        <is>
          <t>Leídos de las páginas de cada proveedor el 1/10/2026. Hay que confirmarlos al comprar.</t>
        </is>
      </c>
    </row>
    <row r="26">
      <c r="A26" s="110" t="inlineStr">
        <is>
          <t>Poste desmontable</t>
        </is>
      </c>
    </row>
    <row r="27">
      <c r="A27" s="100" t="inlineStr">
        <is>
          <t>Vaina enterrada con tapa a ras del piso (izquierda) y poste montado con la malla (derecha). Esquema sin escala.</t>
        </is>
      </c>
    </row>
  </sheetData>
  <mergeCells count="1">
    <mergeCell ref="A27:B2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es-419</dc:language>
  <dcterms:created xmlns:dcterms="http://purl.org/dc/terms/" xmlns:xsi="http://www.w3.org/2001/XMLSchema-instance" xsi:type="dcterms:W3CDTF">2026-10-02T00:03:11Z</dcterms:created>
  <dcterms:modified xmlns:dcterms="http://purl.org/dc/terms/" xmlns:xsi="http://www.w3.org/2001/XMLSchema-instance" xsi:type="dcterms:W3CDTF">2026-10-03T22:22:25Z</dcterms:modified>
  <cp:revision>2</cp:revision>
</cp:coreProperties>
</file>