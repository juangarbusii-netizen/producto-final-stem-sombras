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stos" sheetId="1" state="visible" r:id="rId3"/>
    <sheet name="Gastos expandido" sheetId="2" state="visible" r:id="rId4"/>
    <sheet name="Supuestos" sheetId="3" state="visible" r:id="rId5"/>
    <sheet name="Observa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<sst xmlns="http://schemas.openxmlformats.org/spreadsheetml/2006/main" count="315" uniqueCount="182">
  <si>
    <t xml:space="preserve">Gastos de la idea final</t>
  </si>
  <si>
    <t xml:space="preserve">Total con IVA en dólares</t>
  </si>
  <si>
    <t xml:space="preserve">Total con IVA en pesos</t>
  </si>
  <si>
    <t xml:space="preserve">Ítem</t>
  </si>
  <si>
    <t xml:space="preserve">Proveedor</t>
  </si>
  <si>
    <t xml:space="preserve">Cantidad</t>
  </si>
  <si>
    <t xml:space="preserve">Unidad</t>
  </si>
  <si>
    <t xml:space="preserve">Precio unitario</t>
  </si>
  <si>
    <t xml:space="preserve">Moneda</t>
  </si>
  <si>
    <t xml:space="preserve">¿Incluye IVA?</t>
  </si>
  <si>
    <t xml:space="preserve">Subtotal</t>
  </si>
  <si>
    <t xml:space="preserve">Total con IVA</t>
  </si>
  <si>
    <t xml:space="preserve">Lona mesh 41 × 24,5 m, costura electrónica, ojales cada 50 cm</t>
  </si>
  <si>
    <t xml:space="preserve">Romela Toldos</t>
  </si>
  <si>
    <t xml:space="preserve">lona</t>
  </si>
  <si>
    <t xml:space="preserve">USD</t>
  </si>
  <si>
    <t xml:space="preserve">No</t>
  </si>
  <si>
    <t xml:space="preserve">Postes: caño redondo 6" × 3 mm, barra de 6 m</t>
  </si>
  <si>
    <t xml:space="preserve">Appelsa</t>
  </si>
  <si>
    <t xml:space="preserve">barra</t>
  </si>
  <si>
    <t xml:space="preserve">Vainas: tubo cuadrado 200 × 200 × 4,75 mm, barra de 6 m</t>
  </si>
  <si>
    <t xml:space="preserve">Empalmes interiores de los postes: caño redondo 5" × 3 mm, barra de 6 m</t>
  </si>
  <si>
    <t xml:space="preserve">Tapas de las vainas: chapa negra N.º 12, 1,50 × 3 m</t>
  </si>
  <si>
    <t xml:space="preserve">chapa</t>
  </si>
  <si>
    <t xml:space="preserve">Placas de anclaje en paredes y cabezales: planchuela 5/8" × 5", barra de 6 m</t>
  </si>
  <si>
    <t xml:space="preserve">Cable de acero galvanizado 16 mm (cables principales)</t>
  </si>
  <si>
    <t xml:space="preserve">Bianchi</t>
  </si>
  <si>
    <t xml:space="preserve">m</t>
  </si>
  <si>
    <t xml:space="preserve">UYU</t>
  </si>
  <si>
    <t xml:space="preserve">Sí</t>
  </si>
  <si>
    <t xml:space="preserve">Cable de acero galvanizado 12 mm (tensores del borde sur)</t>
  </si>
  <si>
    <t xml:space="preserve">Grillete certificado 7/8" (6,5 t)</t>
  </si>
  <si>
    <t xml:space="preserve">u</t>
  </si>
  <si>
    <t xml:space="preserve">Grillete certificado 5/8" (3,25 t)</t>
  </si>
  <si>
    <t xml:space="preserve">Tensor ojo y gancho 22 mm (cables principales)</t>
  </si>
  <si>
    <t xml:space="preserve">Tensor ojo y gancho 16 mm (tensores sur)</t>
  </si>
  <si>
    <t xml:space="preserve">Apretacable para cable de 16 mm</t>
  </si>
  <si>
    <t xml:space="preserve">Apretacable para cable de 12 mm</t>
  </si>
  <si>
    <t xml:space="preserve">Adhesivo para anclajes químicos Anchofrix 300 ml</t>
  </si>
  <si>
    <t xml:space="preserve">Sodimac</t>
  </si>
  <si>
    <t xml:space="preserve">Varilla roscada zincada 1/2" × 1 m</t>
  </si>
  <si>
    <t xml:space="preserve">Arandela plana 1/2" (paquete de 20)</t>
  </si>
  <si>
    <t xml:space="preserve">paquete</t>
  </si>
  <si>
    <t xml:space="preserve">Cuerda náutica de poliéster 8 mm, 100 m</t>
  </si>
  <si>
    <t xml:space="preserve">Polietileno Obelisco</t>
  </si>
  <si>
    <t xml:space="preserve">rollo</t>
  </si>
  <si>
    <t xml:space="preserve">Total en dólares</t>
  </si>
  <si>
    <t xml:space="preserve">Total en pesos</t>
  </si>
  <si>
    <t xml:space="preserve">No incluye mano de obra, hormigón (habría que perforar el piso del colegio), ingeniero estructural, galvanizado ni equipo de elevación. Ver la hoja Observaciones.</t>
  </si>
  <si>
    <t xml:space="preserve">Las filas celestes están en dólares y las blancas en pesos. Los totales no se suman entre sí porque no se usa tipo de cambio.</t>
  </si>
  <si>
    <t xml:space="preserve">Las cantidades salen de la hoja Supuestos: si se cambia un dato ahí, esta hoja se recalcula.</t>
  </si>
  <si>
    <t xml:space="preserve">Gastos expandido</t>
  </si>
  <si>
    <t xml:space="preserve">Proveedor, precio, cantidad y link de cada ítem de la idea final. Precios al 1/10/2026.</t>
  </si>
  <si>
    <t xml:space="preserve">Item</t>
  </si>
  <si>
    <t xml:space="preserve">Costo</t>
  </si>
  <si>
    <t xml:space="preserve">Con IVA?</t>
  </si>
  <si>
    <t xml:space="preserve">Coste total</t>
  </si>
  <si>
    <t xml:space="preserve">Comentarios</t>
  </si>
  <si>
    <t xml:space="preserve">Link</t>
  </si>
  <si>
    <t xml:space="preserve">Cotización por WhatsApp (099 664 452). Una sola pieza a medida.</t>
  </si>
  <si>
    <t xml:space="preserve">https://www.toldosromela.com.uy/</t>
  </si>
  <si>
    <t xml:space="preserve">Precio por unidad, en dólares, más IVA. Unos 72 kg por barra. Consultar si viene galvanizado.</t>
  </si>
  <si>
    <t xml:space="preserve">https://www.appelsa.com.uy/product-page/6-x-3mm-11-97kg</t>
  </si>
  <si>
    <t xml:space="preserve">De cada barra salen 4 vainas de 1,3 m. Deja holgura alrededor del poste de 6".</t>
  </si>
  <si>
    <t xml:space="preserve">https://www.appelsa.com.uy/product-page/200-x-200-x-4-75mm-30-11kg</t>
  </si>
  <si>
    <t xml:space="preserve">Une el tramo de 6 m con el de 2 m de cada poste. El largo y la fijación los define el ingeniero.</t>
  </si>
  <si>
    <t xml:space="preserve">https://www.appelsa.com.uy/product-page/5-x-3mm-9-500kg</t>
  </si>
  <si>
    <t xml:space="preserve">10 placas de 0,3 m + 12 cabezales de 0,2 m = 5,4 m.</t>
  </si>
  <si>
    <t xml:space="preserve">https://www.appelsa.com.uy/product-page/5-8-x-5-96-6kg</t>
  </si>
  <si>
    <t xml:space="preserve">Alma de cáñamo. La página no publica la carga de rotura: el ingeniero puede pedir alma de acero o más diámetro.</t>
  </si>
  <si>
    <t xml:space="preserve">https://www.bianchi.com.uy/cable-acero-16mmalma-canamo</t>
  </si>
  <si>
    <t xml:space="preserve">Alma de cáñamo. Del tope de cada poste sur a un bloque en el piso.</t>
  </si>
  <si>
    <t xml:space="preserve">https://www.bianchi.com.uy/cable-acero-12mmalma-canamo</t>
  </si>
  <si>
    <t xml:space="preserve">Certificado ABLE, carga de trabajo 6,5 t (mayor que las 5,6 t por cable). 2 por cable.</t>
  </si>
  <si>
    <t xml:space="preserve">https://www.bianchi.com.uy/grillete-alta-resistencia-78-pulga-65ton-certificados-able</t>
  </si>
  <si>
    <t xml:space="preserve">Para los tensores del borde sur. 2 por tensor.</t>
  </si>
  <si>
    <t xml:space="preserve">https://www.bianchi.com.uy/grillete-alta-resistencia-58-pulg-325ton-certificados-able</t>
  </si>
  <si>
    <t xml:space="preserve">Para tensar cada cable. No publica carga de trabajo: el ingeniero puede pedir tensores certificados ojo-ojo.</t>
  </si>
  <si>
    <t xml:space="preserve">https://www.bianchi.com.uy/tensor-ojo-y-gancho-22mm</t>
  </si>
  <si>
    <t xml:space="preserve">Uno por tensor del borde sur. No publica carga de trabajo.</t>
  </si>
  <si>
    <t xml:space="preserve">https://www.bianchi.com.uy/tensor-ojo-y-gancho-16mm</t>
  </si>
  <si>
    <t xml:space="preserve">3 por extremo de cable, 2 extremos por cable.</t>
  </si>
  <si>
    <t xml:space="preserve">https://www.bianchi.com.uy/apretacable-para-cable-de-acero-16-mm</t>
  </si>
  <si>
    <t xml:space="preserve">3 por extremo, 2 extremos por tensor sur.</t>
  </si>
  <si>
    <t xml:space="preserve">https://www.bianchi.com.uy/apretacable-para-cable-de-acero-12-mm</t>
  </si>
  <si>
    <t xml:space="preserve">Para fijar las varillas de las placas en las paredes.</t>
  </si>
  <si>
    <t xml:space="preserve">https://www.sodimac.com.uy/sodimac-uy/product/1898396/</t>
  </si>
  <si>
    <t xml:space="preserve">Anclajes de las placas (40 × 0,25 m) y pasadores de los postes (12).</t>
  </si>
  <si>
    <t xml:space="preserve">https://www.sodimac.com.uy/sodimac-uy/product/3254011/</t>
  </si>
  <si>
    <t xml:space="preserve">Para anclajes y pasadores.</t>
  </si>
  <si>
    <t xml:space="preserve">https://www.sodimac.com.uy/sodimac-uy/product/1982427/</t>
  </si>
  <si>
    <t xml:space="preserve">Para atar la lona a los cables, ojal por ojal. Lista de junio 2025; puede variar un 10 %.</t>
  </si>
  <si>
    <t xml:space="preserve">https://www.nylon.com.uy/</t>
  </si>
  <si>
    <t xml:space="preserve">Coste total = costo unitario × cantidad, con o sin IVA según la columna "Con IVA?". Excluye mano de obra.</t>
  </si>
  <si>
    <t xml:space="preserve">Supuestos</t>
  </si>
  <si>
    <t xml:space="preserve">Datos que se usan para calcular las otras hojas. Los valores en azul se pueden cambiar y todo se recalcula.</t>
  </si>
  <si>
    <t xml:space="preserve">Concepto</t>
  </si>
  <si>
    <t xml:space="preserve">Valor</t>
  </si>
  <si>
    <t xml:space="preserve">De dónde sale</t>
  </si>
  <si>
    <t xml:space="preserve">IVA básico de Uruguay</t>
  </si>
  <si>
    <t xml:space="preserve">%</t>
  </si>
  <si>
    <t xml:space="preserve">Tasa básica de IVA en Uruguay.</t>
  </si>
  <si>
    <t xml:space="preserve">Cantidad de postes</t>
  </si>
  <si>
    <t xml:space="preserve">Recomendacion_postes_Idea2.docx: 3 filas de 4 postes.</t>
  </si>
  <si>
    <t xml:space="preserve">Largo de cada poste</t>
  </si>
  <si>
    <t xml:space="preserve">7 m sobre el piso + 1 m dentro de la vaina; se arma en tramos de 6 m + 2 m.</t>
  </si>
  <si>
    <t xml:space="preserve">Barras de 6 m cada 3 postes</t>
  </si>
  <si>
    <t xml:space="preserve">3 barras enteras para los tramos de 6 m + 1 barra cortada en 3 tramos de 2 m.</t>
  </si>
  <si>
    <t xml:space="preserve">Barras de reserva (cortes y errores)</t>
  </si>
  <si>
    <t xml:space="preserve">Margen propio.</t>
  </si>
  <si>
    <t xml:space="preserve">Largo de cada vaina</t>
  </si>
  <si>
    <t xml:space="preserve">El poste entra 1 m; 0,3 m para el fondo con drenaje.</t>
  </si>
  <si>
    <t xml:space="preserve">Largo de cada empalme interior</t>
  </si>
  <si>
    <t xml:space="preserve">0,3 m dentro de cada tramo del poste. Lo define el ingeniero.</t>
  </si>
  <si>
    <t xml:space="preserve">Placas de anclaje en paredes</t>
  </si>
  <si>
    <t xml:space="preserve">5 cables × 2 paredes (este y oeste).</t>
  </si>
  <si>
    <t xml:space="preserve">Largo de cada placa de anclaje</t>
  </si>
  <si>
    <t xml:space="preserve">Supuesto para 4 anclajes por placa.</t>
  </si>
  <si>
    <t xml:space="preserve">Largo de cada cabezal (punta del poste)</t>
  </si>
  <si>
    <t xml:space="preserve">Pieza de apoyo del cable.</t>
  </si>
  <si>
    <t xml:space="preserve">Cables principales este-oeste</t>
  </si>
  <si>
    <t xml:space="preserve">Recomendacion_postes_Idea2.docx.</t>
  </si>
  <si>
    <t xml:space="preserve">Largo de cada cable principal</t>
  </si>
  <si>
    <t xml:space="preserve">40,9 m de pared a pared + unos 2 m para terminaciones.</t>
  </si>
  <si>
    <t xml:space="preserve">Tensores de los postes del borde sur</t>
  </si>
  <si>
    <t xml:space="preserve">Un tensor por poste del borde sur.</t>
  </si>
  <si>
    <t xml:space="preserve">Largo de cada tensor sur</t>
  </si>
  <si>
    <t xml:space="preserve">Del tope del poste (7 m) a un punto 3,5 m al sur: 7,8 m + terminaciones.</t>
  </si>
  <si>
    <t xml:space="preserve">Apretacables por extremo de cable</t>
  </si>
  <si>
    <t xml:space="preserve">Práctica habitual para cables de este diámetro.</t>
  </si>
  <si>
    <t xml:space="preserve">Anclajes químicos por placa</t>
  </si>
  <si>
    <t xml:space="preserve">Supuesto; lo define el ingeniero.</t>
  </si>
  <si>
    <t xml:space="preserve">Anclajes por cartucho de adhesivo</t>
  </si>
  <si>
    <t xml:space="preserve">Estimación (cartucho de 300 ml).</t>
  </si>
  <si>
    <t xml:space="preserve">Largo de varilla por anclaje</t>
  </si>
  <si>
    <t xml:space="preserve">Supuesto.</t>
  </si>
  <si>
    <t xml:space="preserve">Pasadores por varilla de 1 m</t>
  </si>
  <si>
    <t xml:space="preserve">Cada pasador cruza la vaina de 200 mm: unos 0,33 m.</t>
  </si>
  <si>
    <t xml:space="preserve">Ojales de la lona</t>
  </si>
  <si>
    <t xml:space="preserve">Perímetro de 131 m cada 0,5 m (262) + 3 líneas interiores de 41 m cada 0,5 m (246).</t>
  </si>
  <si>
    <t xml:space="preserve">Cuerda por ojal</t>
  </si>
  <si>
    <t xml:space="preserve">Estimación propia.</t>
  </si>
  <si>
    <t xml:space="preserve">Superficie de la lona</t>
  </si>
  <si>
    <t xml:space="preserve">m²</t>
  </si>
  <si>
    <t xml:space="preserve">Lona de 41 × 24,5 m (cotización de Romela).</t>
  </si>
  <si>
    <t xml:space="preserve">Superficie de un paño de Polientile</t>
  </si>
  <si>
    <t xml:space="preserve">Cotización de Polientile: paño de 1 × 4,20 m (dato del equipo).</t>
  </si>
  <si>
    <t xml:space="preserve">Otros supuestos (sin número)</t>
  </si>
  <si>
    <t xml:space="preserve">• Precios leídos de las páginas de cada proveedor el 1/10/2026. Hay que confirmarlos al comprar.</t>
  </si>
  <si>
    <t xml:space="preserve">• Appelsa publica en dólares, por unidad y SIN IVA (lo dice su página). Se le suma el IVA de la celda B5.</t>
  </si>
  <si>
    <t xml:space="preserve">• Sodimac, Barraca Julia y Polietileno Obelisco: precios al público CON IVA incluido.</t>
  </si>
  <si>
    <t xml:space="preserve">• Bianchi: la página no aclara el IVA; se toma como precio al público con IVA incluido. Confirmar.</t>
  </si>
  <si>
    <t xml:space="preserve">• Cable de 16 mm y de 12 mm de Bianchi: la página no dice la unidad; se toma como precio por metro (el de 5 mm dice "por metro"). Confirmar.</t>
  </si>
  <si>
    <t xml:space="preserve">• Diámetro exterior del caño de 6" de Appelsa: unos 165 mm (deducido de 11,97 kg/m con 3 mm de pared). Por eso la vaina es el tubo de 200 × 200 mm: el de 180 × 180 deja muy poca holgura.</t>
  </si>
  <si>
    <t xml:space="preserve">• Cargas de diseño (de Recomendacion_postes_Idea2.docx): viento de 0,35 kN/m² y hasta 5,6 t por cable principal.</t>
  </si>
  <si>
    <t xml:space="preserve">• Dólares y pesos se suman por separado: no se usa tipo de cambio.</t>
  </si>
  <si>
    <t xml:space="preserve">Observaciones</t>
  </si>
  <si>
    <t xml:space="preserve">Datos relevantes que no entran en los totales.</t>
  </si>
  <si>
    <t xml:space="preserve">No incluido en los gastos</t>
  </si>
  <si>
    <t xml:space="preserve">Mano de obra</t>
  </si>
  <si>
    <t xml:space="preserve">No se incluye en ningún cálculo: armado, montaje, soldadura y cortes quedan fuera.</t>
  </si>
  <si>
    <t xml:space="preserve">Hormigón</t>
  </si>
  <si>
    <t xml:space="preserve">No se incluye porque habría que perforar el piso del colegio y usar ese material. Serían 12 bases de unos 1,4 m³ (cerca de 17 m³) y 3 bloques para los tensores del borde sur.</t>
  </si>
  <si>
    <t xml:space="preserve">Ingeniero estructural</t>
  </si>
  <si>
    <t xml:space="preserve">Tiene que verificar y firmar el cálculo: viento, cables, anclajes, vainas, empalmes y bases.</t>
  </si>
  <si>
    <t xml:space="preserve">Galvanizado en caliente</t>
  </si>
  <si>
    <t xml:space="preserve">Tubacero lo hace a terceros (Coronel Raíz 949, tel. 2354 3300), pero no publica precio.</t>
  </si>
  <si>
    <t xml:space="preserve">Plataforma elevadora o grúa</t>
  </si>
  <si>
    <t xml:space="preserve">Hace falta para trabajar a 7 m y parar postes de unos 96 kg. Sin precio publicado.</t>
  </si>
  <si>
    <t xml:space="preserve">Guardacabos 16 mm y tuercas 1/2"</t>
  </si>
  <si>
    <t xml:space="preserve">No encontramos precio online. Comprarlos junto con el resto de la ferretería.</t>
  </si>
  <si>
    <t xml:space="preserve">Avisos técnicos</t>
  </si>
  <si>
    <t xml:space="preserve">Cables y tensores</t>
  </si>
  <si>
    <t xml:space="preserve">El cable de 16 mm (alma de cáñamo) y los tensores con gancho no publican su carga de trabajo. El ingeniero puede pedir cable de alma de acero, más diámetro o tensores certificados ojo-ojo.</t>
  </si>
  <si>
    <t xml:space="preserve">Caño de Appelsa</t>
  </si>
  <si>
    <t xml:space="preserve">La página no aclara si el caño es galvanizado o negro. Si es negro, hay que galvanizarlo o protegerlo.</t>
  </si>
  <si>
    <t xml:space="preserve">Cotizaciones propias</t>
  </si>
  <si>
    <t xml:space="preserve">Romela Toldos, Polientile y Nico están en la carpeta Cotizaciones del proyecto.</t>
  </si>
  <si>
    <t xml:space="preserve">Techo de Nico</t>
  </si>
  <si>
    <t xml:space="preserve">Su cotización ("muy por arriba de 50 dólares por m²") era para un techo de chapa con estructura metálica, no para esta idea; por eso no figura como proveedor.</t>
  </si>
  <si>
    <t xml:space="preserve">Poste desmontable</t>
  </si>
  <si>
    <t xml:space="preserve">Vaina enterrada con tapa a ras del piso (izquierda) y poste montado con la malla (derecha). Esquema sin escala.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</si>
</sst>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US$ &quot;#,##0.00"/>
    <numFmt numFmtId="166" formatCode="&quot;$ &quot;#,##0"/>
    <numFmt numFmtId="167" formatCode="0\ 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548235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i val="true"/>
      <u val="single"/>
      <sz val="10"/>
      <color rgb="FFC00000"/>
      <name val="Arial"/>
      <family val="0"/>
      <charset val="1"/>
    </font>
    <font>
      <sz val="9"/>
      <color rgb="FF40404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u val="single"/>
      <sz val="11"/>
      <color rgb="FF1F4E79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0563C1"/>
      </patternFill>
    </fill>
    <fill>
      <patternFill patternType="solid">
        <fgColor rgb="FFFFF2CC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7F9FC"/>
        <bgColor rgb="FFFFFFFF"/>
      </patternFill>
    </fill>
    <fill>
      <patternFill patternType="solid">
        <fgColor rgb="FFE2EFDA"/>
        <bgColor rgb="FFDDEBF7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 diagonalUp="false" diagonalDown="false">
      <left/>
      <right/>
      <top style="medium">
        <color rgb="FF1F4E79"/>
      </top>
      <bottom/>
      <diagonal/>
    </border>
    <border diagonalUp="false" diagonalDown="false"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 diagonalUp="false" diagonalDown="false">
      <left style="thin">
        <color rgb="FFD0D7E2"/>
      </left>
      <right style="thin">
        <color rgb="FFD0D7E2"/>
      </right>
      <top style="medium">
        <color rgb="FFBF9000"/>
      </top>
      <bottom style="medium">
        <color rgb="FFBF9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5" fontId="6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5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2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5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3" fillId="5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0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3" fillId="0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5" fillId="3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3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3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5" fillId="3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0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3" fillId="0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8" fillId="0" borderId="4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9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6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6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6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8" fillId="6" borderId="4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9" fillId="6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0" fillId="6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3" fillId="6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1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7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7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general" vertical="center" textRotation="0" wrapText="true" indent="1" shrinkToFit="false"/>
      <protection locked="true" hidden="false"/>
    </xf>
    <xf numFmtId="164" fontId="24" fillId="4" borderId="0" xfId="0" applyFont="true" applyBorder="false" applyAlignment="true" applyProtection="true">
      <alignment horizontal="general" vertical="center" textRotation="0" wrapText="false" indent="1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4" xfId="0" applyFont="true" applyBorder="true" applyAlignment="true" applyProtection="true">
      <alignment horizontal="general" vertical="center" textRotation="0" wrapText="true" indent="1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9000"/>
      <rgbColor rgb="FFFF6600"/>
      <rgbColor rgb="FF595959"/>
      <rgbColor rgb="FF969696"/>
      <rgbColor rgb="FF003366"/>
      <rgbColor rgb="FF339966"/>
      <rgbColor rgb="FF003300"/>
      <rgbColor rgb="FF1F1F1F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1</xdr:col>
      <xdr:colOff>5122800</xdr:colOff>
      <xdr:row>42</xdr:row>
      <xdr:rowOff>112680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5362560"/>
          <a:ext cx="7237440" cy="4494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toldosromela.com.uy/" TargetMode="External"/><Relationship Id="rId2" Type="http://schemas.openxmlformats.org/officeDocument/2006/relationships/hyperlink" Target="https://www.appelsa.com.uy/product-page/6-x-3mm-11-97kg" TargetMode="External"/><Relationship Id="rId3" Type="http://schemas.openxmlformats.org/officeDocument/2006/relationships/hyperlink" Target="https://www.appelsa.com.uy/product-page/200-x-200-x-4-75mm-30-11kg" TargetMode="External"/><Relationship Id="rId4" Type="http://schemas.openxmlformats.org/officeDocument/2006/relationships/hyperlink" Target="https://www.appelsa.com.uy/product-page/5-x-3mm-9-500kg" TargetMode="External"/><Relationship Id="rId5" Type="http://schemas.openxmlformats.org/officeDocument/2006/relationships/hyperlink" Target="https://www.appelsa.com.uy/product-page/5-8-x-5-96-6kg" TargetMode="External"/><Relationship Id="rId6" Type="http://schemas.openxmlformats.org/officeDocument/2006/relationships/hyperlink" Target="https://www.bianchi.com.uy/cable-acero-16mmalma-canamo" TargetMode="External"/><Relationship Id="rId7" Type="http://schemas.openxmlformats.org/officeDocument/2006/relationships/hyperlink" Target="https://www.bianchi.com.uy/cable-acero-12mmalma-canamo" TargetMode="External"/><Relationship Id="rId8" Type="http://schemas.openxmlformats.org/officeDocument/2006/relationships/hyperlink" Target="https://www.bianchi.com.uy/grillete-alta-resistencia-78-pulga-65ton-certificados-able" TargetMode="External"/><Relationship Id="rId9" Type="http://schemas.openxmlformats.org/officeDocument/2006/relationships/hyperlink" Target="https://www.bianchi.com.uy/grillete-alta-resistencia-58-pulg-325ton-certificados-able" TargetMode="External"/><Relationship Id="rId10" Type="http://schemas.openxmlformats.org/officeDocument/2006/relationships/hyperlink" Target="https://www.bianchi.com.uy/tensor-ojo-y-gancho-22mm" TargetMode="External"/><Relationship Id="rId11" Type="http://schemas.openxmlformats.org/officeDocument/2006/relationships/hyperlink" Target="https://www.bianchi.com.uy/tensor-ojo-y-gancho-16mm" TargetMode="External"/><Relationship Id="rId12" Type="http://schemas.openxmlformats.org/officeDocument/2006/relationships/hyperlink" Target="https://www.bianchi.com.uy/apretacable-para-cable-de-acero-16-mm" TargetMode="External"/><Relationship Id="rId13" Type="http://schemas.openxmlformats.org/officeDocument/2006/relationships/hyperlink" Target="https://www.bianchi.com.uy/apretacable-para-cable-de-acero-12-mm" TargetMode="External"/><Relationship Id="rId14" Type="http://schemas.openxmlformats.org/officeDocument/2006/relationships/hyperlink" Target="https://www.sodimac.com.uy/sodimac-uy/product/1898396/" TargetMode="External"/><Relationship Id="rId15" Type="http://schemas.openxmlformats.org/officeDocument/2006/relationships/hyperlink" Target="https://www.sodimac.com.uy/sodimac-uy/product/3254011/" TargetMode="External"/><Relationship Id="rId16" Type="http://schemas.openxmlformats.org/officeDocument/2006/relationships/hyperlink" Target="https://www.sodimac.com.uy/sodimac-uy/product/1982427/" TargetMode="External"/><Relationship Id="rId17" Type="http://schemas.openxmlformats.org/officeDocument/2006/relationships/hyperlink" Target="https://www.nylon.com.uy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true"/>
  </sheetPr>
  <dimension ref="A1:I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2" activeCellId="0" sqref="D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64.77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15"/>
    <col collapsed="false" customWidth="true" hidden="false" outlineLevel="0" max="6" min="6" style="1" width="9"/>
    <col collapsed="false" customWidth="true" hidden="false" outlineLevel="0" max="7" min="7" style="1" width="11.53"/>
    <col collapsed="false" customWidth="true" hidden="false" outlineLevel="0" max="9" min="8" style="1" width="16"/>
  </cols>
  <sheetData>
    <row r="1" customFormat="false" ht="30" hidden="false" customHeight="true" outlineLevel="0" collapsed="false">
      <c r="A1" s="2" t="s">
        <v>0</v>
      </c>
      <c r="G1" s="3" t="s">
        <v>1</v>
      </c>
      <c r="H1" s="3"/>
      <c r="I1" s="4" t="n">
        <f aca="false">I24</f>
        <v>22557.4028</v>
      </c>
    </row>
    <row r="2" customFormat="false" ht="21.75" hidden="false" customHeight="true" outlineLevel="0" collapsed="false">
      <c r="A2" s="5"/>
      <c r="G2" s="3" t="s">
        <v>2</v>
      </c>
      <c r="H2" s="3"/>
      <c r="I2" s="6" t="n">
        <f aca="false">I25</f>
        <v>151847</v>
      </c>
    </row>
    <row r="3" customFormat="false" ht="7.5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</row>
    <row r="4" customFormat="false" ht="30" hidden="false" customHeight="true" outlineLevel="0" collapsed="false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</row>
    <row r="5" customFormat="false" ht="21.75" hidden="false" customHeight="true" outlineLevel="0" collapsed="false">
      <c r="A5" s="9" t="s">
        <v>12</v>
      </c>
      <c r="B5" s="10" t="s">
        <v>13</v>
      </c>
      <c r="C5" s="11" t="n">
        <f aca="false">1</f>
        <v>1</v>
      </c>
      <c r="D5" s="11" t="s">
        <v>14</v>
      </c>
      <c r="E5" s="12" t="n">
        <v>14650</v>
      </c>
      <c r="F5" s="13" t="s">
        <v>15</v>
      </c>
      <c r="G5" s="14" t="s">
        <v>16</v>
      </c>
      <c r="H5" s="15" t="n">
        <f aca="false">C5*E5</f>
        <v>14650</v>
      </c>
      <c r="I5" s="16" t="n">
        <f aca="false">IF(G5="No",H5*(1+Supuestos!$B$5),H5)</f>
        <v>17873</v>
      </c>
    </row>
    <row r="6" customFormat="false" ht="21.75" hidden="false" customHeight="true" outlineLevel="0" collapsed="false">
      <c r="A6" s="9" t="s">
        <v>17</v>
      </c>
      <c r="B6" s="10" t="s">
        <v>18</v>
      </c>
      <c r="C6" s="11" t="n">
        <f aca="false">Supuestos!$B$6/3*Supuestos!$B$8+Supuestos!$B$9</f>
        <v>18</v>
      </c>
      <c r="D6" s="11" t="s">
        <v>19</v>
      </c>
      <c r="E6" s="12" t="n">
        <v>112.29</v>
      </c>
      <c r="F6" s="13" t="s">
        <v>15</v>
      </c>
      <c r="G6" s="14" t="s">
        <v>16</v>
      </c>
      <c r="H6" s="15" t="n">
        <f aca="false">C6*E6</f>
        <v>2021.22</v>
      </c>
      <c r="I6" s="16" t="n">
        <f aca="false">IF(G6="No",H6*(1+Supuestos!$B$5),H6)</f>
        <v>2465.8884</v>
      </c>
    </row>
    <row r="7" customFormat="false" ht="21.75" hidden="false" customHeight="true" outlineLevel="0" collapsed="false">
      <c r="A7" s="9" t="s">
        <v>20</v>
      </c>
      <c r="B7" s="10" t="s">
        <v>18</v>
      </c>
      <c r="C7" s="11" t="n">
        <f aca="false">ROUNDUP(Supuestos!$B$6/INT(6/Supuestos!$B$10),0)</f>
        <v>3</v>
      </c>
      <c r="D7" s="11" t="s">
        <v>19</v>
      </c>
      <c r="E7" s="12" t="n">
        <v>312.14</v>
      </c>
      <c r="F7" s="13" t="s">
        <v>15</v>
      </c>
      <c r="G7" s="14" t="s">
        <v>16</v>
      </c>
      <c r="H7" s="15" t="n">
        <f aca="false">C7*E7</f>
        <v>936.42</v>
      </c>
      <c r="I7" s="16" t="n">
        <f aca="false">IF(G7="No",H7*(1+Supuestos!$B$5),H7)</f>
        <v>1142.4324</v>
      </c>
    </row>
    <row r="8" customFormat="false" ht="31.5" hidden="false" customHeight="true" outlineLevel="0" collapsed="false">
      <c r="A8" s="9" t="s">
        <v>21</v>
      </c>
      <c r="B8" s="10" t="s">
        <v>18</v>
      </c>
      <c r="C8" s="11" t="n">
        <f aca="false">ROUNDUP(Supuestos!$B$6*Supuestos!$B$11/6,0)</f>
        <v>2</v>
      </c>
      <c r="D8" s="11" t="s">
        <v>19</v>
      </c>
      <c r="E8" s="12" t="n">
        <v>94.11</v>
      </c>
      <c r="F8" s="13" t="s">
        <v>15</v>
      </c>
      <c r="G8" s="14" t="s">
        <v>16</v>
      </c>
      <c r="H8" s="15" t="n">
        <f aca="false">C8*E8</f>
        <v>188.22</v>
      </c>
      <c r="I8" s="16" t="n">
        <f aca="false">IF(G8="No",H8*(1+Supuestos!$B$5),H8)</f>
        <v>229.6284</v>
      </c>
    </row>
    <row r="9" customFormat="false" ht="21.75" hidden="false" customHeight="true" outlineLevel="0" collapsed="false">
      <c r="A9" s="9" t="s">
        <v>22</v>
      </c>
      <c r="B9" s="10" t="s">
        <v>18</v>
      </c>
      <c r="C9" s="11" t="n">
        <f aca="false">1</f>
        <v>1</v>
      </c>
      <c r="D9" s="11" t="s">
        <v>23</v>
      </c>
      <c r="E9" s="12" t="n">
        <v>140.81</v>
      </c>
      <c r="F9" s="13" t="s">
        <v>15</v>
      </c>
      <c r="G9" s="14" t="s">
        <v>16</v>
      </c>
      <c r="H9" s="15" t="n">
        <f aca="false">C9*E9</f>
        <v>140.81</v>
      </c>
      <c r="I9" s="16" t="n">
        <f aca="false">IF(G9="No",H9*(1+Supuestos!$B$5),H9)</f>
        <v>171.7882</v>
      </c>
    </row>
    <row r="10" customFormat="false" ht="31.5" hidden="false" customHeight="true" outlineLevel="0" collapsed="false">
      <c r="A10" s="9" t="s">
        <v>24</v>
      </c>
      <c r="B10" s="10" t="s">
        <v>18</v>
      </c>
      <c r="C10" s="11" t="n">
        <f aca="false">ROUNDUP((Supuestos!$B$12*Supuestos!$B$13+Supuestos!$B$6*Supuestos!$B$14)/6,0)</f>
        <v>1</v>
      </c>
      <c r="D10" s="11" t="s">
        <v>19</v>
      </c>
      <c r="E10" s="12" t="n">
        <v>140.07</v>
      </c>
      <c r="F10" s="13" t="s">
        <v>15</v>
      </c>
      <c r="G10" s="14" t="s">
        <v>16</v>
      </c>
      <c r="H10" s="15" t="n">
        <f aca="false">C10*E10</f>
        <v>140.07</v>
      </c>
      <c r="I10" s="16" t="n">
        <f aca="false">IF(G10="No",H10*(1+Supuestos!$B$5),H10)</f>
        <v>170.8854</v>
      </c>
    </row>
    <row r="11" customFormat="false" ht="21.75" hidden="false" customHeight="true" outlineLevel="0" collapsed="false">
      <c r="A11" s="17" t="s">
        <v>25</v>
      </c>
      <c r="B11" s="18" t="s">
        <v>26</v>
      </c>
      <c r="C11" s="19" t="n">
        <f aca="false">Supuestos!$B$15*Supuestos!$B$16</f>
        <v>215</v>
      </c>
      <c r="D11" s="19" t="s">
        <v>27</v>
      </c>
      <c r="E11" s="20" t="n">
        <v>495</v>
      </c>
      <c r="F11" s="21" t="s">
        <v>28</v>
      </c>
      <c r="G11" s="22" t="s">
        <v>29</v>
      </c>
      <c r="H11" s="23" t="n">
        <f aca="false">C11*E11</f>
        <v>106425</v>
      </c>
      <c r="I11" s="24" t="n">
        <f aca="false">IF(G11="No",H11*(1+Supuestos!$B$5),H11)</f>
        <v>106425</v>
      </c>
    </row>
    <row r="12" customFormat="false" ht="21.75" hidden="false" customHeight="true" outlineLevel="0" collapsed="false">
      <c r="A12" s="17" t="s">
        <v>30</v>
      </c>
      <c r="B12" s="18" t="s">
        <v>26</v>
      </c>
      <c r="C12" s="19" t="n">
        <f aca="false">Supuestos!$B$17*Supuestos!$B$18</f>
        <v>27</v>
      </c>
      <c r="D12" s="19" t="s">
        <v>27</v>
      </c>
      <c r="E12" s="20" t="n">
        <v>285</v>
      </c>
      <c r="F12" s="21" t="s">
        <v>28</v>
      </c>
      <c r="G12" s="22" t="s">
        <v>29</v>
      </c>
      <c r="H12" s="23" t="n">
        <f aca="false">C12*E12</f>
        <v>7695</v>
      </c>
      <c r="I12" s="24" t="n">
        <f aca="false">IF(G12="No",H12*(1+Supuestos!$B$5),H12)</f>
        <v>7695</v>
      </c>
    </row>
    <row r="13" customFormat="false" ht="21.75" hidden="false" customHeight="true" outlineLevel="0" collapsed="false">
      <c r="A13" s="9" t="s">
        <v>31</v>
      </c>
      <c r="B13" s="10" t="s">
        <v>26</v>
      </c>
      <c r="C13" s="11" t="n">
        <f aca="false">Supuestos!$B$15*2</f>
        <v>10</v>
      </c>
      <c r="D13" s="11" t="s">
        <v>32</v>
      </c>
      <c r="E13" s="12" t="n">
        <v>40.43</v>
      </c>
      <c r="F13" s="13" t="s">
        <v>15</v>
      </c>
      <c r="G13" s="14" t="s">
        <v>29</v>
      </c>
      <c r="H13" s="15" t="n">
        <f aca="false">C13*E13</f>
        <v>404.3</v>
      </c>
      <c r="I13" s="16" t="n">
        <f aca="false">IF(G13="No",H13*(1+Supuestos!$B$5),H13)</f>
        <v>404.3</v>
      </c>
    </row>
    <row r="14" customFormat="false" ht="21.75" hidden="false" customHeight="true" outlineLevel="0" collapsed="false">
      <c r="A14" s="9" t="s">
        <v>33</v>
      </c>
      <c r="B14" s="10" t="s">
        <v>26</v>
      </c>
      <c r="C14" s="11" t="n">
        <f aca="false">Supuestos!$B$17*2</f>
        <v>6</v>
      </c>
      <c r="D14" s="11" t="s">
        <v>32</v>
      </c>
      <c r="E14" s="12" t="n">
        <v>16.58</v>
      </c>
      <c r="F14" s="13" t="s">
        <v>15</v>
      </c>
      <c r="G14" s="14" t="s">
        <v>29</v>
      </c>
      <c r="H14" s="15" t="n">
        <f aca="false">C14*E14</f>
        <v>99.48</v>
      </c>
      <c r="I14" s="16" t="n">
        <f aca="false">IF(G14="No",H14*(1+Supuestos!$B$5),H14)</f>
        <v>99.48</v>
      </c>
    </row>
    <row r="15" customFormat="false" ht="21.75" hidden="false" customHeight="true" outlineLevel="0" collapsed="false">
      <c r="A15" s="17" t="s">
        <v>34</v>
      </c>
      <c r="B15" s="18" t="s">
        <v>26</v>
      </c>
      <c r="C15" s="19" t="n">
        <f aca="false">Supuestos!$B$15</f>
        <v>5</v>
      </c>
      <c r="D15" s="19" t="s">
        <v>32</v>
      </c>
      <c r="E15" s="20" t="n">
        <v>1165</v>
      </c>
      <c r="F15" s="21" t="s">
        <v>28</v>
      </c>
      <c r="G15" s="22" t="s">
        <v>29</v>
      </c>
      <c r="H15" s="23" t="n">
        <f aca="false">C15*E15</f>
        <v>5825</v>
      </c>
      <c r="I15" s="24" t="n">
        <f aca="false">IF(G15="No",H15*(1+Supuestos!$B$5),H15)</f>
        <v>5825</v>
      </c>
    </row>
    <row r="16" customFormat="false" ht="21.75" hidden="false" customHeight="true" outlineLevel="0" collapsed="false">
      <c r="A16" s="17" t="s">
        <v>35</v>
      </c>
      <c r="B16" s="18" t="s">
        <v>26</v>
      </c>
      <c r="C16" s="19" t="n">
        <f aca="false">Supuestos!$B$17</f>
        <v>3</v>
      </c>
      <c r="D16" s="19" t="s">
        <v>32</v>
      </c>
      <c r="E16" s="20" t="n">
        <v>506</v>
      </c>
      <c r="F16" s="21" t="s">
        <v>28</v>
      </c>
      <c r="G16" s="22" t="s">
        <v>29</v>
      </c>
      <c r="H16" s="23" t="n">
        <f aca="false">C16*E16</f>
        <v>1518</v>
      </c>
      <c r="I16" s="24" t="n">
        <f aca="false">IF(G16="No",H16*(1+Supuestos!$B$5),H16)</f>
        <v>1518</v>
      </c>
    </row>
    <row r="17" customFormat="false" ht="21.75" hidden="false" customHeight="true" outlineLevel="0" collapsed="false">
      <c r="A17" s="17" t="s">
        <v>36</v>
      </c>
      <c r="B17" s="18" t="s">
        <v>26</v>
      </c>
      <c r="C17" s="19" t="n">
        <f aca="false">Supuestos!$B$15*2*Supuestos!$B$19</f>
        <v>30</v>
      </c>
      <c r="D17" s="19" t="s">
        <v>32</v>
      </c>
      <c r="E17" s="20" t="n">
        <v>137</v>
      </c>
      <c r="F17" s="21" t="s">
        <v>28</v>
      </c>
      <c r="G17" s="22" t="s">
        <v>29</v>
      </c>
      <c r="H17" s="23" t="n">
        <f aca="false">C17*E17</f>
        <v>4110</v>
      </c>
      <c r="I17" s="24" t="n">
        <f aca="false">IF(G17="No",H17*(1+Supuestos!$B$5),H17)</f>
        <v>4110</v>
      </c>
    </row>
    <row r="18" customFormat="false" ht="21.75" hidden="false" customHeight="true" outlineLevel="0" collapsed="false">
      <c r="A18" s="17" t="s">
        <v>37</v>
      </c>
      <c r="B18" s="18" t="s">
        <v>26</v>
      </c>
      <c r="C18" s="19" t="n">
        <f aca="false">Supuestos!$B$17*2*Supuestos!$B$19</f>
        <v>18</v>
      </c>
      <c r="D18" s="19" t="s">
        <v>32</v>
      </c>
      <c r="E18" s="20" t="n">
        <v>96</v>
      </c>
      <c r="F18" s="21" t="s">
        <v>28</v>
      </c>
      <c r="G18" s="22" t="s">
        <v>29</v>
      </c>
      <c r="H18" s="23" t="n">
        <f aca="false">C18*E18</f>
        <v>1728</v>
      </c>
      <c r="I18" s="24" t="n">
        <f aca="false">IF(G18="No",H18*(1+Supuestos!$B$5),H18)</f>
        <v>1728</v>
      </c>
    </row>
    <row r="19" customFormat="false" ht="21.75" hidden="false" customHeight="true" outlineLevel="0" collapsed="false">
      <c r="A19" s="17" t="s">
        <v>38</v>
      </c>
      <c r="B19" s="18" t="s">
        <v>39</v>
      </c>
      <c r="C19" s="19" t="n">
        <f aca="false">ROUNDUP(Supuestos!$B$12*Supuestos!$B$20/Supuestos!$B$21,0)</f>
        <v>4</v>
      </c>
      <c r="D19" s="19" t="s">
        <v>32</v>
      </c>
      <c r="E19" s="20" t="n">
        <v>1696</v>
      </c>
      <c r="F19" s="21" t="s">
        <v>28</v>
      </c>
      <c r="G19" s="22" t="s">
        <v>29</v>
      </c>
      <c r="H19" s="23" t="n">
        <f aca="false">C19*E19</f>
        <v>6784</v>
      </c>
      <c r="I19" s="24" t="n">
        <f aca="false">IF(G19="No",H19*(1+Supuestos!$B$5),H19)</f>
        <v>6784</v>
      </c>
    </row>
    <row r="20" customFormat="false" ht="21.75" hidden="false" customHeight="true" outlineLevel="0" collapsed="false">
      <c r="A20" s="17" t="s">
        <v>40</v>
      </c>
      <c r="B20" s="18" t="s">
        <v>39</v>
      </c>
      <c r="C20" s="19" t="n">
        <f aca="false">ROUNDUP(Supuestos!$B$12*Supuestos!$B$20*Supuestos!$B$22,0)+ROUNDUP(Supuestos!$B$6/Supuestos!$B$23,0)</f>
        <v>14</v>
      </c>
      <c r="D20" s="19" t="s">
        <v>32</v>
      </c>
      <c r="E20" s="20" t="n">
        <v>169</v>
      </c>
      <c r="F20" s="21" t="s">
        <v>28</v>
      </c>
      <c r="G20" s="22" t="s">
        <v>29</v>
      </c>
      <c r="H20" s="23" t="n">
        <f aca="false">C20*E20</f>
        <v>2366</v>
      </c>
      <c r="I20" s="24" t="n">
        <f aca="false">IF(G20="No",H20*(1+Supuestos!$B$5),H20)</f>
        <v>2366</v>
      </c>
    </row>
    <row r="21" customFormat="false" ht="21.75" hidden="false" customHeight="true" outlineLevel="0" collapsed="false">
      <c r="A21" s="17" t="s">
        <v>41</v>
      </c>
      <c r="B21" s="18" t="s">
        <v>39</v>
      </c>
      <c r="C21" s="19" t="n">
        <f aca="false">ROUNDUP((Supuestos!$B$12*Supuestos!$B$20+Supuestos!$B$6*2)/20,0)</f>
        <v>4</v>
      </c>
      <c r="D21" s="19" t="s">
        <v>42</v>
      </c>
      <c r="E21" s="20" t="n">
        <v>249</v>
      </c>
      <c r="F21" s="21" t="s">
        <v>28</v>
      </c>
      <c r="G21" s="22" t="s">
        <v>29</v>
      </c>
      <c r="H21" s="23" t="n">
        <f aca="false">C21*E21</f>
        <v>996</v>
      </c>
      <c r="I21" s="24" t="n">
        <f aca="false">IF(G21="No",H21*(1+Supuestos!$B$5),H21)</f>
        <v>996</v>
      </c>
    </row>
    <row r="22" customFormat="false" ht="21.75" hidden="false" customHeight="true" outlineLevel="0" collapsed="false">
      <c r="A22" s="17" t="s">
        <v>43</v>
      </c>
      <c r="B22" s="18" t="s">
        <v>44</v>
      </c>
      <c r="C22" s="19" t="n">
        <f aca="false">ROUNDUP(Supuestos!$B$24*Supuestos!$B$25/100,0)</f>
        <v>6</v>
      </c>
      <c r="D22" s="19" t="s">
        <v>45</v>
      </c>
      <c r="E22" s="20" t="n">
        <v>2400</v>
      </c>
      <c r="F22" s="21" t="s">
        <v>28</v>
      </c>
      <c r="G22" s="22" t="s">
        <v>29</v>
      </c>
      <c r="H22" s="23" t="n">
        <f aca="false">C22*E22</f>
        <v>14400</v>
      </c>
      <c r="I22" s="24" t="n">
        <f aca="false">IF(G22="No",H22*(1+Supuestos!$B$5),H22)</f>
        <v>14400</v>
      </c>
    </row>
    <row r="24" customFormat="false" ht="24" hidden="false" customHeight="true" outlineLevel="0" collapsed="false">
      <c r="A24" s="25" t="s">
        <v>46</v>
      </c>
      <c r="B24" s="26"/>
      <c r="C24" s="26"/>
      <c r="D24" s="26"/>
      <c r="E24" s="26"/>
      <c r="F24" s="27" t="s">
        <v>15</v>
      </c>
      <c r="G24" s="26"/>
      <c r="H24" s="28" t="n">
        <f aca="false">SUMIF($F$5:$F$22,"USD",H$5:H$22)</f>
        <v>18580.52</v>
      </c>
      <c r="I24" s="28" t="n">
        <f aca="false">SUMIF($F$5:$F$22,"USD",I$5:I$22)</f>
        <v>22557.4028</v>
      </c>
    </row>
    <row r="25" customFormat="false" ht="24" hidden="false" customHeight="true" outlineLevel="0" collapsed="false">
      <c r="A25" s="25" t="s">
        <v>47</v>
      </c>
      <c r="B25" s="26"/>
      <c r="C25" s="26"/>
      <c r="D25" s="26"/>
      <c r="E25" s="26"/>
      <c r="F25" s="27" t="s">
        <v>28</v>
      </c>
      <c r="G25" s="26"/>
      <c r="H25" s="29" t="n">
        <f aca="false">SUMIF($F$5:$F$22,"UYU",H$5:H$22)</f>
        <v>151847</v>
      </c>
      <c r="I25" s="29" t="n">
        <f aca="false">SUMIF($F$5:$F$22,"UYU",I$5:I$22)</f>
        <v>151847</v>
      </c>
    </row>
    <row r="27" customFormat="false" ht="30" hidden="false" customHeight="true" outlineLevel="0" collapsed="false">
      <c r="A27" s="30" t="s">
        <v>48</v>
      </c>
      <c r="B27" s="30"/>
      <c r="C27" s="30"/>
      <c r="D27" s="30"/>
      <c r="E27" s="30"/>
      <c r="F27" s="30"/>
      <c r="G27" s="30"/>
      <c r="H27" s="30"/>
      <c r="I27" s="30"/>
    </row>
    <row r="28" customFormat="false" ht="30" hidden="false" customHeight="true" outlineLevel="0" collapsed="false">
      <c r="A28" s="31" t="s">
        <v>49</v>
      </c>
      <c r="B28" s="31"/>
      <c r="C28" s="31"/>
      <c r="D28" s="31"/>
      <c r="E28" s="31"/>
      <c r="F28" s="31"/>
      <c r="G28" s="31"/>
      <c r="H28" s="31"/>
      <c r="I28" s="31"/>
    </row>
    <row r="29" customFormat="false" ht="30" hidden="false" customHeight="true" outlineLevel="0" collapsed="false">
      <c r="A29" s="31" t="s">
        <v>50</v>
      </c>
      <c r="B29" s="31"/>
      <c r="C29" s="31"/>
      <c r="D29" s="31"/>
      <c r="E29" s="31"/>
      <c r="F29" s="31"/>
      <c r="G29" s="31"/>
      <c r="H29" s="31"/>
      <c r="I29" s="31"/>
    </row>
  </sheetData>
  <mergeCells count="5">
    <mergeCell ref="G1:H1"/>
    <mergeCell ref="G2:H2"/>
    <mergeCell ref="A27:I27"/>
    <mergeCell ref="A28:I28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7" activeCellId="0" sqref="A1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6" min="6" style="1" width="16"/>
    <col collapsed="false" customWidth="true" hidden="false" outlineLevel="0" max="7" min="7" style="1" width="60"/>
    <col collapsed="false" customWidth="true" hidden="false" outlineLevel="0" max="8" min="8" style="1" width="54"/>
  </cols>
  <sheetData>
    <row r="1" customFormat="false" ht="30" hidden="false" customHeight="true" outlineLevel="0" collapsed="false">
      <c r="A1" s="2" t="s">
        <v>51</v>
      </c>
    </row>
    <row r="2" customFormat="false" ht="18" hidden="false" customHeight="true" outlineLevel="0" collapsed="false">
      <c r="A2" s="5" t="s">
        <v>52</v>
      </c>
    </row>
    <row r="3" customFormat="false" ht="7.5" hidden="false" customHeight="true" outlineLevel="0" collapsed="false">
      <c r="A3" s="7"/>
      <c r="B3" s="7"/>
      <c r="C3" s="7"/>
      <c r="D3" s="7"/>
      <c r="E3" s="7"/>
      <c r="F3" s="7"/>
      <c r="G3" s="7"/>
      <c r="H3" s="7"/>
    </row>
    <row r="4" customFormat="false" ht="30" hidden="false" customHeight="true" outlineLevel="0" collapsed="false">
      <c r="A4" s="8" t="s">
        <v>53</v>
      </c>
      <c r="B4" s="8" t="s">
        <v>4</v>
      </c>
      <c r="C4" s="8" t="s">
        <v>54</v>
      </c>
      <c r="D4" s="8" t="s">
        <v>55</v>
      </c>
      <c r="E4" s="8" t="s">
        <v>5</v>
      </c>
      <c r="F4" s="8" t="s">
        <v>56</v>
      </c>
      <c r="G4" s="8" t="s">
        <v>57</v>
      </c>
      <c r="H4" s="8" t="s">
        <v>58</v>
      </c>
    </row>
    <row r="5" customFormat="false" ht="31.5" hidden="false" customHeight="true" outlineLevel="0" collapsed="false">
      <c r="A5" s="32" t="s">
        <v>12</v>
      </c>
      <c r="B5" s="18" t="s">
        <v>13</v>
      </c>
      <c r="C5" s="33" t="n">
        <v>14650</v>
      </c>
      <c r="D5" s="22" t="s">
        <v>16</v>
      </c>
      <c r="E5" s="19" t="n">
        <f aca="false">1</f>
        <v>1</v>
      </c>
      <c r="F5" s="34" t="n">
        <f aca="false">C5*E5</f>
        <v>14650</v>
      </c>
      <c r="G5" s="35" t="s">
        <v>59</v>
      </c>
      <c r="H5" s="36" t="s">
        <v>60</v>
      </c>
    </row>
    <row r="6" customFormat="false" ht="31.5" hidden="false" customHeight="true" outlineLevel="0" collapsed="false">
      <c r="A6" s="37" t="s">
        <v>17</v>
      </c>
      <c r="B6" s="38" t="s">
        <v>18</v>
      </c>
      <c r="C6" s="39" t="n">
        <v>112.29</v>
      </c>
      <c r="D6" s="40" t="s">
        <v>16</v>
      </c>
      <c r="E6" s="41" t="n">
        <f aca="false">Supuestos!$B$6/3*Supuestos!$B$8+Supuestos!$B$9</f>
        <v>18</v>
      </c>
      <c r="F6" s="42" t="n">
        <f aca="false">C6*E6</f>
        <v>2021.22</v>
      </c>
      <c r="G6" s="43" t="s">
        <v>61</v>
      </c>
      <c r="H6" s="44" t="s">
        <v>62</v>
      </c>
    </row>
    <row r="7" customFormat="false" ht="31.5" hidden="false" customHeight="true" outlineLevel="0" collapsed="false">
      <c r="A7" s="32" t="s">
        <v>20</v>
      </c>
      <c r="B7" s="18" t="s">
        <v>18</v>
      </c>
      <c r="C7" s="33" t="n">
        <v>312.14</v>
      </c>
      <c r="D7" s="22" t="s">
        <v>16</v>
      </c>
      <c r="E7" s="19" t="n">
        <f aca="false">ROUNDUP(Supuestos!$B$6/INT(6/Supuestos!$B$10),0)</f>
        <v>3</v>
      </c>
      <c r="F7" s="34" t="n">
        <f aca="false">C7*E7</f>
        <v>936.42</v>
      </c>
      <c r="G7" s="35" t="s">
        <v>63</v>
      </c>
      <c r="H7" s="36" t="s">
        <v>64</v>
      </c>
    </row>
    <row r="8" customFormat="false" ht="31.5" hidden="false" customHeight="true" outlineLevel="0" collapsed="false">
      <c r="A8" s="37" t="s">
        <v>21</v>
      </c>
      <c r="B8" s="38" t="s">
        <v>18</v>
      </c>
      <c r="C8" s="39" t="n">
        <v>94.11</v>
      </c>
      <c r="D8" s="40" t="s">
        <v>16</v>
      </c>
      <c r="E8" s="41" t="n">
        <f aca="false">ROUNDUP(Supuestos!$B$6*Supuestos!$B$11/6,0)</f>
        <v>2</v>
      </c>
      <c r="F8" s="42" t="n">
        <f aca="false">C8*E8</f>
        <v>188.22</v>
      </c>
      <c r="G8" s="43" t="s">
        <v>65</v>
      </c>
      <c r="H8" s="44" t="s">
        <v>66</v>
      </c>
    </row>
    <row r="9" customFormat="false" ht="31.5" hidden="false" customHeight="true" outlineLevel="0" collapsed="false">
      <c r="A9" s="32" t="s">
        <v>24</v>
      </c>
      <c r="B9" s="18" t="s">
        <v>18</v>
      </c>
      <c r="C9" s="33" t="n">
        <v>140.07</v>
      </c>
      <c r="D9" s="22" t="s">
        <v>16</v>
      </c>
      <c r="E9" s="19" t="n">
        <f aca="false">ROUNDUP((Supuestos!$B$12*Supuestos!$B$13+Supuestos!$B$6*Supuestos!$B$14)/6,0)</f>
        <v>1</v>
      </c>
      <c r="F9" s="34" t="n">
        <f aca="false">C9*E9</f>
        <v>140.07</v>
      </c>
      <c r="G9" s="35" t="s">
        <v>67</v>
      </c>
      <c r="H9" s="36" t="s">
        <v>68</v>
      </c>
    </row>
    <row r="10" customFormat="false" ht="31.5" hidden="false" customHeight="true" outlineLevel="0" collapsed="false">
      <c r="A10" s="37" t="s">
        <v>25</v>
      </c>
      <c r="B10" s="38" t="s">
        <v>26</v>
      </c>
      <c r="C10" s="45" t="n">
        <v>495</v>
      </c>
      <c r="D10" s="40" t="s">
        <v>29</v>
      </c>
      <c r="E10" s="41" t="n">
        <f aca="false">Supuestos!$B$15*Supuestos!$B$16</f>
        <v>215</v>
      </c>
      <c r="F10" s="46" t="n">
        <f aca="false">C10*E10</f>
        <v>106425</v>
      </c>
      <c r="G10" s="43" t="s">
        <v>69</v>
      </c>
      <c r="H10" s="44" t="s">
        <v>70</v>
      </c>
    </row>
    <row r="11" customFormat="false" ht="21.75" hidden="false" customHeight="true" outlineLevel="0" collapsed="false">
      <c r="A11" s="32" t="s">
        <v>30</v>
      </c>
      <c r="B11" s="18" t="s">
        <v>26</v>
      </c>
      <c r="C11" s="23" t="n">
        <v>285</v>
      </c>
      <c r="D11" s="22" t="s">
        <v>29</v>
      </c>
      <c r="E11" s="19" t="n">
        <f aca="false">Supuestos!$B$17*Supuestos!$B$18</f>
        <v>27</v>
      </c>
      <c r="F11" s="24" t="n">
        <f aca="false">C11*E11</f>
        <v>7695</v>
      </c>
      <c r="G11" s="35" t="s">
        <v>71</v>
      </c>
      <c r="H11" s="36" t="s">
        <v>72</v>
      </c>
    </row>
    <row r="12" customFormat="false" ht="31.5" hidden="false" customHeight="true" outlineLevel="0" collapsed="false">
      <c r="A12" s="37" t="s">
        <v>31</v>
      </c>
      <c r="B12" s="38" t="s">
        <v>26</v>
      </c>
      <c r="C12" s="39" t="n">
        <v>40.43</v>
      </c>
      <c r="D12" s="40" t="s">
        <v>29</v>
      </c>
      <c r="E12" s="41" t="n">
        <f aca="false">Supuestos!$B$15*2</f>
        <v>10</v>
      </c>
      <c r="F12" s="42" t="n">
        <f aca="false">C12*E12</f>
        <v>404.3</v>
      </c>
      <c r="G12" s="43" t="s">
        <v>73</v>
      </c>
      <c r="H12" s="44" t="s">
        <v>74</v>
      </c>
    </row>
    <row r="13" customFormat="false" ht="31.5" hidden="false" customHeight="true" outlineLevel="0" collapsed="false">
      <c r="A13" s="32" t="s">
        <v>33</v>
      </c>
      <c r="B13" s="18" t="s">
        <v>26</v>
      </c>
      <c r="C13" s="33" t="n">
        <v>16.58</v>
      </c>
      <c r="D13" s="22" t="s">
        <v>29</v>
      </c>
      <c r="E13" s="19" t="n">
        <f aca="false">Supuestos!$B$17*2</f>
        <v>6</v>
      </c>
      <c r="F13" s="34" t="n">
        <f aca="false">C13*E13</f>
        <v>99.48</v>
      </c>
      <c r="G13" s="35" t="s">
        <v>75</v>
      </c>
      <c r="H13" s="36" t="s">
        <v>76</v>
      </c>
    </row>
    <row r="14" customFormat="false" ht="31.5" hidden="false" customHeight="true" outlineLevel="0" collapsed="false">
      <c r="A14" s="37" t="s">
        <v>34</v>
      </c>
      <c r="B14" s="38" t="s">
        <v>26</v>
      </c>
      <c r="C14" s="45" t="n">
        <v>1165</v>
      </c>
      <c r="D14" s="40" t="s">
        <v>29</v>
      </c>
      <c r="E14" s="41" t="n">
        <f aca="false">Supuestos!$B$15</f>
        <v>5</v>
      </c>
      <c r="F14" s="46" t="n">
        <f aca="false">C14*E14</f>
        <v>5825</v>
      </c>
      <c r="G14" s="43" t="s">
        <v>77</v>
      </c>
      <c r="H14" s="44" t="s">
        <v>78</v>
      </c>
    </row>
    <row r="15" customFormat="false" ht="21.75" hidden="false" customHeight="true" outlineLevel="0" collapsed="false">
      <c r="A15" s="32" t="s">
        <v>35</v>
      </c>
      <c r="B15" s="18" t="s">
        <v>26</v>
      </c>
      <c r="C15" s="23" t="n">
        <v>506</v>
      </c>
      <c r="D15" s="22" t="s">
        <v>29</v>
      </c>
      <c r="E15" s="19" t="n">
        <f aca="false">Supuestos!$B$17</f>
        <v>3</v>
      </c>
      <c r="F15" s="24" t="n">
        <f aca="false">C15*E15</f>
        <v>1518</v>
      </c>
      <c r="G15" s="35" t="s">
        <v>79</v>
      </c>
      <c r="H15" s="36" t="s">
        <v>80</v>
      </c>
    </row>
    <row r="16" customFormat="false" ht="21.75" hidden="false" customHeight="true" outlineLevel="0" collapsed="false">
      <c r="A16" s="37" t="s">
        <v>36</v>
      </c>
      <c r="B16" s="38" t="s">
        <v>26</v>
      </c>
      <c r="C16" s="45" t="n">
        <v>137</v>
      </c>
      <c r="D16" s="40" t="s">
        <v>29</v>
      </c>
      <c r="E16" s="41" t="n">
        <f aca="false">Supuestos!$B$15*2*Supuestos!$B$19</f>
        <v>30</v>
      </c>
      <c r="F16" s="46" t="n">
        <f aca="false">C16*E16</f>
        <v>4110</v>
      </c>
      <c r="G16" s="43" t="s">
        <v>81</v>
      </c>
      <c r="H16" s="44" t="s">
        <v>82</v>
      </c>
    </row>
    <row r="17" customFormat="false" ht="21.75" hidden="false" customHeight="true" outlineLevel="0" collapsed="false">
      <c r="A17" s="32" t="s">
        <v>37</v>
      </c>
      <c r="B17" s="18" t="s">
        <v>26</v>
      </c>
      <c r="C17" s="23" t="n">
        <v>96</v>
      </c>
      <c r="D17" s="22" t="s">
        <v>29</v>
      </c>
      <c r="E17" s="19" t="n">
        <f aca="false">Supuestos!$B$17*2*Supuestos!$B$19</f>
        <v>18</v>
      </c>
      <c r="F17" s="24" t="n">
        <f aca="false">C17*E17</f>
        <v>1728</v>
      </c>
      <c r="G17" s="35" t="s">
        <v>83</v>
      </c>
      <c r="H17" s="36" t="s">
        <v>84</v>
      </c>
    </row>
    <row r="18" customFormat="false" ht="21.75" hidden="false" customHeight="true" outlineLevel="0" collapsed="false">
      <c r="A18" s="37" t="s">
        <v>38</v>
      </c>
      <c r="B18" s="38" t="s">
        <v>39</v>
      </c>
      <c r="C18" s="45" t="n">
        <v>1696</v>
      </c>
      <c r="D18" s="40" t="s">
        <v>29</v>
      </c>
      <c r="E18" s="41" t="n">
        <f aca="false">ROUNDUP(Supuestos!$B$12*Supuestos!$B$20/Supuestos!$B$21,0)</f>
        <v>4</v>
      </c>
      <c r="F18" s="46" t="n">
        <f aca="false">C18*E18</f>
        <v>6784</v>
      </c>
      <c r="G18" s="43" t="s">
        <v>85</v>
      </c>
      <c r="H18" s="44" t="s">
        <v>86</v>
      </c>
    </row>
    <row r="19" customFormat="false" ht="21.75" hidden="false" customHeight="true" outlineLevel="0" collapsed="false">
      <c r="A19" s="32" t="s">
        <v>40</v>
      </c>
      <c r="B19" s="18" t="s">
        <v>39</v>
      </c>
      <c r="C19" s="23" t="n">
        <v>169</v>
      </c>
      <c r="D19" s="22" t="s">
        <v>29</v>
      </c>
      <c r="E19" s="19" t="n">
        <f aca="false">ROUNDUP(Supuestos!$B$12*Supuestos!$B$20*Supuestos!$B$22,0)+ROUNDUP(Supuestos!$B$6/Supuestos!$B$23,0)</f>
        <v>14</v>
      </c>
      <c r="F19" s="24" t="n">
        <f aca="false">C19*E19</f>
        <v>2366</v>
      </c>
      <c r="G19" s="35" t="s">
        <v>87</v>
      </c>
      <c r="H19" s="36" t="s">
        <v>88</v>
      </c>
    </row>
    <row r="20" customFormat="false" ht="21.75" hidden="false" customHeight="true" outlineLevel="0" collapsed="false">
      <c r="A20" s="37" t="s">
        <v>41</v>
      </c>
      <c r="B20" s="38" t="s">
        <v>39</v>
      </c>
      <c r="C20" s="45" t="n">
        <v>249</v>
      </c>
      <c r="D20" s="40" t="s">
        <v>29</v>
      </c>
      <c r="E20" s="41" t="n">
        <f aca="false">ROUNDUP((Supuestos!$B$12*Supuestos!$B$20+Supuestos!$B$6*2)/20,0)</f>
        <v>4</v>
      </c>
      <c r="F20" s="46" t="n">
        <f aca="false">C20*E20</f>
        <v>996</v>
      </c>
      <c r="G20" s="43" t="s">
        <v>89</v>
      </c>
      <c r="H20" s="44" t="s">
        <v>90</v>
      </c>
    </row>
    <row r="21" customFormat="false" ht="31.5" hidden="false" customHeight="true" outlineLevel="0" collapsed="false">
      <c r="A21" s="32" t="s">
        <v>43</v>
      </c>
      <c r="B21" s="18" t="s">
        <v>44</v>
      </c>
      <c r="C21" s="23" t="n">
        <v>2400</v>
      </c>
      <c r="D21" s="22" t="s">
        <v>29</v>
      </c>
      <c r="E21" s="19" t="n">
        <f aca="false">ROUNDUP(Supuestos!$B$24*Supuestos!$B$25/100,0)</f>
        <v>6</v>
      </c>
      <c r="F21" s="24" t="n">
        <f aca="false">C21*E21</f>
        <v>14400</v>
      </c>
      <c r="G21" s="35" t="s">
        <v>91</v>
      </c>
      <c r="H21" s="36" t="s">
        <v>92</v>
      </c>
    </row>
    <row r="22" customFormat="false" ht="15" hidden="false" customHeight="false" outlineLevel="0" collapsed="false">
      <c r="A22" s="47"/>
      <c r="B22" s="47"/>
      <c r="C22" s="48"/>
      <c r="D22" s="49"/>
      <c r="E22" s="49"/>
      <c r="F22" s="48"/>
      <c r="G22" s="47"/>
      <c r="H22" s="47"/>
    </row>
    <row r="23" customFormat="false" ht="15" hidden="false" customHeight="true" outlineLevel="0" collapsed="false">
      <c r="A23" s="50" t="s">
        <v>93</v>
      </c>
      <c r="B23" s="50"/>
      <c r="C23" s="50"/>
      <c r="D23" s="50"/>
      <c r="E23" s="50"/>
      <c r="F23" s="50"/>
      <c r="G23" s="50"/>
      <c r="H23" s="50"/>
    </row>
    <row r="24" customFormat="false" ht="15" hidden="false" customHeight="false" outlineLevel="0" collapsed="false">
      <c r="A24" s="47"/>
      <c r="B24" s="47"/>
      <c r="C24" s="51"/>
      <c r="D24" s="49"/>
      <c r="E24" s="49"/>
      <c r="F24" s="51"/>
      <c r="G24" s="47"/>
      <c r="H24" s="47"/>
    </row>
    <row r="25" customFormat="false" ht="15" hidden="false" customHeight="false" outlineLevel="0" collapsed="false">
      <c r="A25" s="47"/>
      <c r="B25" s="47"/>
      <c r="C25" s="48"/>
      <c r="D25" s="49"/>
      <c r="E25" s="49"/>
      <c r="F25" s="48"/>
      <c r="G25" s="47"/>
      <c r="H25" s="47"/>
    </row>
    <row r="26" customFormat="false" ht="15" hidden="false" customHeight="false" outlineLevel="0" collapsed="false">
      <c r="A26" s="47"/>
      <c r="B26" s="47"/>
      <c r="C26" s="48"/>
      <c r="D26" s="49"/>
      <c r="E26" s="49"/>
      <c r="F26" s="48"/>
      <c r="G26" s="47"/>
      <c r="H26" s="47"/>
    </row>
    <row r="27" customFormat="false" ht="15" hidden="false" customHeight="false" outlineLevel="0" collapsed="false">
      <c r="A27" s="47"/>
      <c r="B27" s="47"/>
      <c r="C27" s="48"/>
      <c r="D27" s="49"/>
      <c r="E27" s="49"/>
      <c r="F27" s="48"/>
      <c r="G27" s="47"/>
      <c r="H27" s="47"/>
    </row>
    <row r="28" customFormat="false" ht="15" hidden="false" customHeight="false" outlineLevel="0" collapsed="false">
      <c r="A28" s="47"/>
      <c r="B28" s="47"/>
      <c r="C28" s="48"/>
      <c r="D28" s="49"/>
      <c r="E28" s="49"/>
      <c r="F28" s="48"/>
      <c r="G28" s="47"/>
      <c r="H28" s="47"/>
    </row>
    <row r="29" customFormat="false" ht="15" hidden="false" customHeight="false" outlineLevel="0" collapsed="false">
      <c r="A29" s="47"/>
      <c r="B29" s="47"/>
      <c r="C29" s="48"/>
      <c r="D29" s="49"/>
      <c r="E29" s="49"/>
      <c r="F29" s="48"/>
      <c r="G29" s="47"/>
      <c r="H29" s="47"/>
    </row>
    <row r="30" customFormat="false" ht="15" hidden="false" customHeight="false" outlineLevel="0" collapsed="false">
      <c r="A30" s="52"/>
      <c r="B30" s="52"/>
      <c r="C30" s="52"/>
      <c r="D30" s="52"/>
      <c r="E30" s="52"/>
      <c r="F30" s="52"/>
      <c r="G30" s="52"/>
      <c r="H30" s="52"/>
    </row>
    <row r="31" customFormat="false" ht="15" hidden="false" customHeight="false" outlineLevel="0" collapsed="false">
      <c r="A31" s="52"/>
      <c r="B31" s="52"/>
      <c r="C31" s="52"/>
      <c r="D31" s="52"/>
      <c r="E31" s="52"/>
      <c r="F31" s="52"/>
      <c r="G31" s="52"/>
      <c r="H31" s="52"/>
    </row>
  </sheetData>
  <mergeCells count="1">
    <mergeCell ref="A23:H23"/>
  </mergeCells>
  <hyperlinks>
    <hyperlink ref="H5" r:id="rId1" display="https://www.toldosromela.com.uy/"/>
    <hyperlink ref="H6" r:id="rId2" display="https://www.appelsa.com.uy/product-page/6-x-3mm-11-97kg"/>
    <hyperlink ref="H7" r:id="rId3" display="https://www.appelsa.com.uy/product-page/200-x-200-x-4-75mm-30-11kg"/>
    <hyperlink ref="H8" r:id="rId4" display="https://www.appelsa.com.uy/product-page/5-x-3mm-9-500kg"/>
    <hyperlink ref="H9" r:id="rId5" display="https://www.appelsa.com.uy/product-page/5-8-x-5-96-6kg"/>
    <hyperlink ref="H10" r:id="rId6" display="https://www.bianchi.com.uy/cable-acero-16mmalma-canamo"/>
    <hyperlink ref="H11" r:id="rId7" display="https://www.bianchi.com.uy/cable-acero-12mmalma-canamo"/>
    <hyperlink ref="H12" r:id="rId8" display="https://www.bianchi.com.uy/grillete-alta-resistencia-78-pulga-65ton-certificados-able"/>
    <hyperlink ref="H13" r:id="rId9" display="https://www.bianchi.com.uy/grillete-alta-resistencia-58-pulg-325ton-certificados-able"/>
    <hyperlink ref="H14" r:id="rId10" display="https://www.bianchi.com.uy/tensor-ojo-y-gancho-22mm"/>
    <hyperlink ref="H15" r:id="rId11" display="https://www.bianchi.com.uy/tensor-ojo-y-gancho-16mm"/>
    <hyperlink ref="H16" r:id="rId12" display="https://www.bianchi.com.uy/apretacable-para-cable-de-acero-16-mm"/>
    <hyperlink ref="H17" r:id="rId13" display="https://www.bianchi.com.uy/apretacable-para-cable-de-acero-12-mm"/>
    <hyperlink ref="H18" r:id="rId14" display="https://www.sodimac.com.uy/sodimac-uy/product/1898396/"/>
    <hyperlink ref="H19" r:id="rId15" display="https://www.sodimac.com.uy/sodimac-uy/product/3254011/"/>
    <hyperlink ref="H20" r:id="rId16" display="https://www.sodimac.com.uy/sodimac-uy/product/1982427/"/>
    <hyperlink ref="H21" r:id="rId17" display="https://www.nylon.com.uy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11" activePane="bottomLeft" state="frozen"/>
      <selection pane="topLeft" activeCell="A1" activeCellId="0" sqref="A1"/>
      <selection pane="bottomLeft" activeCell="A31" activeCellId="0" sqref="A3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3" min="2" style="1" width="12"/>
    <col collapsed="false" customWidth="true" hidden="false" outlineLevel="0" max="4" min="4" style="1" width="70"/>
  </cols>
  <sheetData>
    <row r="1" customFormat="false" ht="30" hidden="false" customHeight="true" outlineLevel="0" collapsed="false">
      <c r="A1" s="2" t="s">
        <v>94</v>
      </c>
    </row>
    <row r="2" customFormat="false" ht="18" hidden="false" customHeight="true" outlineLevel="0" collapsed="false">
      <c r="A2" s="5" t="s">
        <v>95</v>
      </c>
    </row>
    <row r="3" customFormat="false" ht="7.5" hidden="false" customHeight="true" outlineLevel="0" collapsed="false">
      <c r="A3" s="7"/>
      <c r="B3" s="7"/>
      <c r="C3" s="7"/>
      <c r="D3" s="7"/>
    </row>
    <row r="4" customFormat="false" ht="30" hidden="false" customHeight="true" outlineLevel="0" collapsed="false">
      <c r="A4" s="8" t="s">
        <v>96</v>
      </c>
      <c r="B4" s="8" t="s">
        <v>97</v>
      </c>
      <c r="C4" s="8" t="s">
        <v>6</v>
      </c>
      <c r="D4" s="8" t="s">
        <v>98</v>
      </c>
    </row>
    <row r="5" customFormat="false" ht="19.5" hidden="false" customHeight="true" outlineLevel="0" collapsed="false">
      <c r="A5" s="18" t="s">
        <v>99</v>
      </c>
      <c r="B5" s="53" t="n">
        <v>0.22</v>
      </c>
      <c r="C5" s="19" t="s">
        <v>100</v>
      </c>
      <c r="D5" s="54" t="s">
        <v>101</v>
      </c>
    </row>
    <row r="6" customFormat="false" ht="19.5" hidden="false" customHeight="true" outlineLevel="0" collapsed="false">
      <c r="A6" s="38" t="s">
        <v>102</v>
      </c>
      <c r="B6" s="55" t="n">
        <v>12</v>
      </c>
      <c r="C6" s="41" t="s">
        <v>32</v>
      </c>
      <c r="D6" s="56" t="s">
        <v>103</v>
      </c>
    </row>
    <row r="7" customFormat="false" ht="19.5" hidden="false" customHeight="true" outlineLevel="0" collapsed="false">
      <c r="A7" s="18" t="s">
        <v>104</v>
      </c>
      <c r="B7" s="55" t="n">
        <v>8</v>
      </c>
      <c r="C7" s="19" t="s">
        <v>27</v>
      </c>
      <c r="D7" s="54" t="s">
        <v>105</v>
      </c>
    </row>
    <row r="8" customFormat="false" ht="19.5" hidden="false" customHeight="true" outlineLevel="0" collapsed="false">
      <c r="A8" s="38" t="s">
        <v>106</v>
      </c>
      <c r="B8" s="55" t="n">
        <v>4</v>
      </c>
      <c r="C8" s="41" t="s">
        <v>32</v>
      </c>
      <c r="D8" s="56" t="s">
        <v>107</v>
      </c>
    </row>
    <row r="9" customFormat="false" ht="19.5" hidden="false" customHeight="true" outlineLevel="0" collapsed="false">
      <c r="A9" s="18" t="s">
        <v>108</v>
      </c>
      <c r="B9" s="55" t="n">
        <v>2</v>
      </c>
      <c r="C9" s="19" t="s">
        <v>32</v>
      </c>
      <c r="D9" s="54" t="s">
        <v>109</v>
      </c>
    </row>
    <row r="10" customFormat="false" ht="19.5" hidden="false" customHeight="true" outlineLevel="0" collapsed="false">
      <c r="A10" s="38" t="s">
        <v>110</v>
      </c>
      <c r="B10" s="55" t="n">
        <v>1.3</v>
      </c>
      <c r="C10" s="41" t="s">
        <v>27</v>
      </c>
      <c r="D10" s="56" t="s">
        <v>111</v>
      </c>
    </row>
    <row r="11" customFormat="false" ht="19.5" hidden="false" customHeight="true" outlineLevel="0" collapsed="false">
      <c r="A11" s="18" t="s">
        <v>112</v>
      </c>
      <c r="B11" s="55" t="n">
        <v>0.6</v>
      </c>
      <c r="C11" s="19" t="s">
        <v>27</v>
      </c>
      <c r="D11" s="54" t="s">
        <v>113</v>
      </c>
    </row>
    <row r="12" customFormat="false" ht="19.5" hidden="false" customHeight="true" outlineLevel="0" collapsed="false">
      <c r="A12" s="38" t="s">
        <v>114</v>
      </c>
      <c r="B12" s="55" t="n">
        <v>10</v>
      </c>
      <c r="C12" s="41" t="s">
        <v>32</v>
      </c>
      <c r="D12" s="56" t="s">
        <v>115</v>
      </c>
    </row>
    <row r="13" customFormat="false" ht="19.5" hidden="false" customHeight="true" outlineLevel="0" collapsed="false">
      <c r="A13" s="18" t="s">
        <v>116</v>
      </c>
      <c r="B13" s="55" t="n">
        <v>0.3</v>
      </c>
      <c r="C13" s="19" t="s">
        <v>27</v>
      </c>
      <c r="D13" s="54" t="s">
        <v>117</v>
      </c>
    </row>
    <row r="14" customFormat="false" ht="19.5" hidden="false" customHeight="true" outlineLevel="0" collapsed="false">
      <c r="A14" s="38" t="s">
        <v>118</v>
      </c>
      <c r="B14" s="55" t="n">
        <v>0.2</v>
      </c>
      <c r="C14" s="41" t="s">
        <v>27</v>
      </c>
      <c r="D14" s="56" t="s">
        <v>119</v>
      </c>
    </row>
    <row r="15" customFormat="false" ht="19.5" hidden="false" customHeight="true" outlineLevel="0" collapsed="false">
      <c r="A15" s="18" t="s">
        <v>120</v>
      </c>
      <c r="B15" s="55" t="n">
        <v>5</v>
      </c>
      <c r="C15" s="19" t="s">
        <v>32</v>
      </c>
      <c r="D15" s="54" t="s">
        <v>121</v>
      </c>
    </row>
    <row r="16" customFormat="false" ht="19.5" hidden="false" customHeight="true" outlineLevel="0" collapsed="false">
      <c r="A16" s="38" t="s">
        <v>122</v>
      </c>
      <c r="B16" s="55" t="n">
        <v>43</v>
      </c>
      <c r="C16" s="41" t="s">
        <v>27</v>
      </c>
      <c r="D16" s="56" t="s">
        <v>123</v>
      </c>
    </row>
    <row r="17" customFormat="false" ht="19.5" hidden="false" customHeight="true" outlineLevel="0" collapsed="false">
      <c r="A17" s="18" t="s">
        <v>124</v>
      </c>
      <c r="B17" s="55" t="n">
        <v>3</v>
      </c>
      <c r="C17" s="19" t="s">
        <v>32</v>
      </c>
      <c r="D17" s="54" t="s">
        <v>125</v>
      </c>
    </row>
    <row r="18" customFormat="false" ht="19.5" hidden="false" customHeight="true" outlineLevel="0" collapsed="false">
      <c r="A18" s="38" t="s">
        <v>126</v>
      </c>
      <c r="B18" s="55" t="n">
        <v>9</v>
      </c>
      <c r="C18" s="41" t="s">
        <v>27</v>
      </c>
      <c r="D18" s="56" t="s">
        <v>127</v>
      </c>
    </row>
    <row r="19" customFormat="false" ht="19.5" hidden="false" customHeight="true" outlineLevel="0" collapsed="false">
      <c r="A19" s="18" t="s">
        <v>128</v>
      </c>
      <c r="B19" s="55" t="n">
        <v>3</v>
      </c>
      <c r="C19" s="19" t="s">
        <v>32</v>
      </c>
      <c r="D19" s="54" t="s">
        <v>129</v>
      </c>
    </row>
    <row r="20" customFormat="false" ht="19.5" hidden="false" customHeight="true" outlineLevel="0" collapsed="false">
      <c r="A20" s="38" t="s">
        <v>130</v>
      </c>
      <c r="B20" s="55" t="n">
        <v>4</v>
      </c>
      <c r="C20" s="41" t="s">
        <v>32</v>
      </c>
      <c r="D20" s="56" t="s">
        <v>131</v>
      </c>
    </row>
    <row r="21" customFormat="false" ht="19.5" hidden="false" customHeight="true" outlineLevel="0" collapsed="false">
      <c r="A21" s="18" t="s">
        <v>132</v>
      </c>
      <c r="B21" s="55" t="n">
        <v>10</v>
      </c>
      <c r="C21" s="19" t="s">
        <v>32</v>
      </c>
      <c r="D21" s="54" t="s">
        <v>133</v>
      </c>
    </row>
    <row r="22" customFormat="false" ht="19.5" hidden="false" customHeight="true" outlineLevel="0" collapsed="false">
      <c r="A22" s="38" t="s">
        <v>134</v>
      </c>
      <c r="B22" s="55" t="n">
        <v>0.25</v>
      </c>
      <c r="C22" s="41" t="s">
        <v>27</v>
      </c>
      <c r="D22" s="56" t="s">
        <v>135</v>
      </c>
    </row>
    <row r="23" customFormat="false" ht="19.5" hidden="false" customHeight="true" outlineLevel="0" collapsed="false">
      <c r="A23" s="18" t="s">
        <v>136</v>
      </c>
      <c r="B23" s="55" t="n">
        <v>3</v>
      </c>
      <c r="C23" s="19" t="s">
        <v>32</v>
      </c>
      <c r="D23" s="54" t="s">
        <v>137</v>
      </c>
    </row>
    <row r="24" customFormat="false" ht="31.5" hidden="false" customHeight="true" outlineLevel="0" collapsed="false">
      <c r="A24" s="38" t="s">
        <v>138</v>
      </c>
      <c r="B24" s="55" t="n">
        <v>508</v>
      </c>
      <c r="C24" s="41" t="s">
        <v>32</v>
      </c>
      <c r="D24" s="56" t="s">
        <v>139</v>
      </c>
    </row>
    <row r="25" customFormat="false" ht="19.5" hidden="false" customHeight="true" outlineLevel="0" collapsed="false">
      <c r="A25" s="18" t="s">
        <v>140</v>
      </c>
      <c r="B25" s="55" t="n">
        <v>1</v>
      </c>
      <c r="C25" s="19" t="s">
        <v>27</v>
      </c>
      <c r="D25" s="54" t="s">
        <v>141</v>
      </c>
    </row>
    <row r="26" customFormat="false" ht="19.5" hidden="false" customHeight="true" outlineLevel="0" collapsed="false">
      <c r="A26" s="38" t="s">
        <v>142</v>
      </c>
      <c r="B26" s="55" t="n">
        <f aca="false">41*24.5</f>
        <v>1004.5</v>
      </c>
      <c r="C26" s="41" t="s">
        <v>143</v>
      </c>
      <c r="D26" s="56" t="s">
        <v>144</v>
      </c>
    </row>
    <row r="27" customFormat="false" ht="19.5" hidden="false" customHeight="true" outlineLevel="0" collapsed="false">
      <c r="A27" s="18" t="s">
        <v>145</v>
      </c>
      <c r="B27" s="55" t="n">
        <f aca="false">1*4.2</f>
        <v>4.2</v>
      </c>
      <c r="C27" s="19" t="s">
        <v>143</v>
      </c>
      <c r="D27" s="54" t="s">
        <v>146</v>
      </c>
    </row>
    <row r="29" customFormat="false" ht="24" hidden="false" customHeight="true" outlineLevel="0" collapsed="false">
      <c r="A29" s="57" t="s">
        <v>147</v>
      </c>
    </row>
    <row r="30" customFormat="false" ht="18" hidden="false" customHeight="true" outlineLevel="0" collapsed="false">
      <c r="A30" s="58" t="s">
        <v>148</v>
      </c>
      <c r="B30" s="58"/>
      <c r="C30" s="58"/>
      <c r="D30" s="58"/>
    </row>
    <row r="31" customFormat="false" ht="18" hidden="false" customHeight="true" outlineLevel="0" collapsed="false">
      <c r="A31" s="58" t="s">
        <v>149</v>
      </c>
      <c r="B31" s="58"/>
      <c r="C31" s="58"/>
      <c r="D31" s="58"/>
    </row>
    <row r="32" customFormat="false" ht="18" hidden="false" customHeight="true" outlineLevel="0" collapsed="false">
      <c r="A32" s="58" t="s">
        <v>150</v>
      </c>
      <c r="B32" s="58"/>
      <c r="C32" s="58"/>
      <c r="D32" s="58"/>
    </row>
    <row r="33" customFormat="false" ht="18" hidden="false" customHeight="true" outlineLevel="0" collapsed="false">
      <c r="A33" s="58" t="s">
        <v>151</v>
      </c>
      <c r="B33" s="58"/>
      <c r="C33" s="58"/>
      <c r="D33" s="58"/>
    </row>
    <row r="34" customFormat="false" ht="30" hidden="false" customHeight="true" outlineLevel="0" collapsed="false">
      <c r="A34" s="58" t="s">
        <v>152</v>
      </c>
      <c r="B34" s="58"/>
      <c r="C34" s="58"/>
      <c r="D34" s="58"/>
    </row>
    <row r="35" customFormat="false" ht="30" hidden="false" customHeight="true" outlineLevel="0" collapsed="false">
      <c r="A35" s="58" t="s">
        <v>153</v>
      </c>
      <c r="B35" s="58"/>
      <c r="C35" s="58"/>
      <c r="D35" s="58"/>
    </row>
    <row r="36" customFormat="false" ht="18" hidden="false" customHeight="true" outlineLevel="0" collapsed="false">
      <c r="A36" s="58" t="s">
        <v>154</v>
      </c>
      <c r="B36" s="58"/>
      <c r="C36" s="58"/>
      <c r="D36" s="58"/>
    </row>
    <row r="37" customFormat="false" ht="18" hidden="false" customHeight="true" outlineLevel="0" collapsed="false">
      <c r="A37" s="58" t="s">
        <v>155</v>
      </c>
      <c r="B37" s="58"/>
      <c r="C37" s="58"/>
      <c r="D37" s="58"/>
    </row>
  </sheetData>
  <mergeCells count="8">
    <mergeCell ref="A30:D30"/>
    <mergeCell ref="A31:D31"/>
    <mergeCell ref="A32:D32"/>
    <mergeCell ref="A33:D33"/>
    <mergeCell ref="A34:D34"/>
    <mergeCell ref="A35:D35"/>
    <mergeCell ref="A36:D36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0"/>
  </cols>
  <sheetData>
    <row r="1" customFormat="false" ht="30" hidden="false" customHeight="true" outlineLevel="0" collapsed="false">
      <c r="A1" s="2" t="s">
        <v>156</v>
      </c>
    </row>
    <row r="2" customFormat="false" ht="18" hidden="false" customHeight="true" outlineLevel="0" collapsed="false">
      <c r="A2" s="5" t="s">
        <v>157</v>
      </c>
    </row>
    <row r="3" customFormat="false" ht="7.5" hidden="false" customHeight="true" outlineLevel="0" collapsed="false">
      <c r="A3" s="7"/>
      <c r="B3" s="7"/>
    </row>
    <row r="4" customFormat="false" ht="21.75" hidden="false" customHeight="true" outlineLevel="0" collapsed="false">
      <c r="A4" s="59" t="s">
        <v>158</v>
      </c>
      <c r="B4" s="60"/>
    </row>
    <row r="5" customFormat="false" ht="21.75" hidden="false" customHeight="true" outlineLevel="0" collapsed="false">
      <c r="A5" s="61" t="s">
        <v>159</v>
      </c>
      <c r="B5" s="18" t="s">
        <v>160</v>
      </c>
    </row>
    <row r="6" customFormat="false" ht="31.5" hidden="false" customHeight="true" outlineLevel="0" collapsed="false">
      <c r="A6" s="61" t="s">
        <v>161</v>
      </c>
      <c r="B6" s="18" t="s">
        <v>162</v>
      </c>
    </row>
    <row r="7" customFormat="false" ht="21.75" hidden="false" customHeight="true" outlineLevel="0" collapsed="false">
      <c r="A7" s="61" t="s">
        <v>163</v>
      </c>
      <c r="B7" s="18" t="s">
        <v>164</v>
      </c>
    </row>
    <row r="8" customFormat="false" ht="21.75" hidden="false" customHeight="true" outlineLevel="0" collapsed="false">
      <c r="A8" s="61" t="s">
        <v>165</v>
      </c>
      <c r="B8" s="18" t="s">
        <v>166</v>
      </c>
    </row>
    <row r="9" customFormat="false" ht="21.75" hidden="false" customHeight="true" outlineLevel="0" collapsed="false">
      <c r="A9" s="61" t="s">
        <v>167</v>
      </c>
      <c r="B9" s="18" t="s">
        <v>168</v>
      </c>
    </row>
    <row r="10" customFormat="false" ht="31.5" hidden="false" customHeight="true" outlineLevel="0" collapsed="false">
      <c r="A10" s="61" t="s">
        <v>169</v>
      </c>
      <c r="B10" s="18" t="s">
        <v>170</v>
      </c>
    </row>
    <row r="12" customFormat="false" ht="21.75" hidden="false" customHeight="true" outlineLevel="0" collapsed="false">
      <c r="A12" s="59" t="s">
        <v>171</v>
      </c>
      <c r="B12" s="60"/>
    </row>
    <row r="13" customFormat="false" ht="31.5" hidden="false" customHeight="true" outlineLevel="0" collapsed="false">
      <c r="A13" s="61" t="s">
        <v>172</v>
      </c>
      <c r="B13" s="18" t="s">
        <v>173</v>
      </c>
    </row>
    <row r="14" customFormat="false" ht="21.75" hidden="false" customHeight="true" outlineLevel="0" collapsed="false">
      <c r="A14" s="61" t="s">
        <v>174</v>
      </c>
      <c r="B14" s="18" t="s">
        <v>175</v>
      </c>
    </row>
    <row r="15" customFormat="false" ht="21.75" hidden="false" customHeight="true" outlineLevel="0" collapsed="false">
      <c r="A15" s="61" t="s">
        <v>176</v>
      </c>
      <c r="B15" s="18" t="s">
        <v>177</v>
      </c>
    </row>
    <row r="16" customFormat="false" ht="31.5" hidden="false" customHeight="true" outlineLevel="0" collapsed="false">
      <c r="A16" s="61" t="s">
        <v>178</v>
      </c>
      <c r="B16" s="18" t="s">
        <v>179</v>
      </c>
    </row>
    <row r="18" customFormat="false" ht="21.75" hidden="false" customHeight="true" outlineLevel="0" collapsed="false">
      <c r="A18" s="59" t="s">
        <v>180</v>
      </c>
      <c r="B18" s="60"/>
    </row>
    <row r="19" customFormat="false" ht="15" hidden="false" customHeight="true" outlineLevel="0" collapsed="false">
      <c r="A19" s="62" t="s">
        <v>181</v>
      </c>
      <c r="B19" s="62"/>
    </row>
  </sheetData>
  <mergeCells count="1"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2026-10-02T00:03:11Z</dcterms:created>
  <dc:creator>openpyxl</dc:creator>
  <dc:description/>
  <dc:language>es-419</dc:language>
  <cp:lastModifiedBy/>
  <dcterms:modified xsi:type="dcterms:W3CDTF">2026-10-03T14:36:39Z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